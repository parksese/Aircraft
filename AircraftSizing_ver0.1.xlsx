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a91093fbf50c225/"/>
    </mc:Choice>
  </mc:AlternateContent>
  <xr:revisionPtr revIDLastSave="671" documentId="8_{796B69B9-2398-40C5-8082-1FFE15878A19}" xr6:coauthVersionLast="47" xr6:coauthVersionMax="47" xr10:uidLastSave="{14552693-61F4-4CDD-9D87-D0023CD425C1}"/>
  <bookViews>
    <workbookView xWindow="-110" yWindow="-110" windowWidth="25820" windowHeight="15500" activeTab="1" xr2:uid="{92019FB0-FC2D-44ED-AF39-9D3A35716D50}"/>
  </bookViews>
  <sheets>
    <sheet name="Input" sheetId="1" r:id="rId1"/>
    <sheet name="Performance" sheetId="5" r:id="rId2"/>
    <sheet name="RSTA" sheetId="4" r:id="rId3"/>
    <sheet name="WL" sheetId="3" r:id="rId4"/>
    <sheet name="Weight" sheetId="2" r:id="rId5"/>
  </sheets>
  <definedNames>
    <definedName name="alt_ft">Input!$H$11</definedName>
    <definedName name="CLmax">WL!$E$3</definedName>
    <definedName name="CLmax_to">WL!$E$5</definedName>
    <definedName name="rho_kgm3">WL!$E$1</definedName>
    <definedName name="S_TO_ft">Input!$H$13</definedName>
    <definedName name="S_TO_m">Input!$H$12</definedName>
    <definedName name="S_TOG_ft">Input!$H$15</definedName>
    <definedName name="S_TOG_m">Input!$H$14</definedName>
    <definedName name="Vs_0_ms">Input!$H$7</definedName>
    <definedName name="Vs_1_ms">Input!$H$9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2" i="5" l="1"/>
  <c r="F31" i="5"/>
  <c r="G31" i="5"/>
  <c r="H31" i="5"/>
  <c r="E31" i="5"/>
  <c r="F38" i="5"/>
  <c r="G38" i="5"/>
  <c r="H38" i="5"/>
  <c r="E38" i="5"/>
  <c r="H30" i="5"/>
  <c r="G30" i="5"/>
  <c r="H27" i="5"/>
  <c r="G27" i="5"/>
  <c r="H22" i="5"/>
  <c r="G22" i="5"/>
  <c r="H20" i="5"/>
  <c r="G20" i="5"/>
  <c r="H18" i="5"/>
  <c r="G18" i="5"/>
  <c r="H15" i="5"/>
  <c r="H16" i="5" s="1"/>
  <c r="G15" i="5"/>
  <c r="G16" i="5" s="1"/>
  <c r="H10" i="5"/>
  <c r="H11" i="5" s="1"/>
  <c r="H37" i="5" s="1"/>
  <c r="G10" i="5"/>
  <c r="G11" i="5" s="1"/>
  <c r="G37" i="5" s="1"/>
  <c r="F27" i="5"/>
  <c r="E27" i="5"/>
  <c r="F36" i="5"/>
  <c r="F30" i="5"/>
  <c r="F22" i="5"/>
  <c r="F20" i="5"/>
  <c r="F18" i="5"/>
  <c r="F15" i="5"/>
  <c r="F16" i="5" s="1"/>
  <c r="F10" i="5"/>
  <c r="F11" i="5" s="1"/>
  <c r="F37" i="5" s="1"/>
  <c r="E36" i="5"/>
  <c r="E20" i="5"/>
  <c r="E22" i="5"/>
  <c r="E10" i="5"/>
  <c r="E11" i="5" s="1"/>
  <c r="E37" i="5" s="1"/>
  <c r="E30" i="5"/>
  <c r="E18" i="5"/>
  <c r="E15" i="5"/>
  <c r="E16" i="5" s="1"/>
  <c r="E12" i="3"/>
  <c r="H13" i="1"/>
  <c r="H12" i="1"/>
  <c r="I5" i="3"/>
  <c r="I6" i="3"/>
  <c r="D24" i="1"/>
  <c r="H15" i="1"/>
  <c r="E11" i="3" s="1"/>
  <c r="H14" i="1"/>
  <c r="H10" i="1"/>
  <c r="H7" i="1"/>
  <c r="E6" i="3" s="1"/>
  <c r="H8" i="1"/>
  <c r="H9" i="1"/>
  <c r="I4" i="3" s="1"/>
  <c r="H6" i="1"/>
  <c r="H5" i="1"/>
  <c r="H3" i="1"/>
  <c r="H4" i="1"/>
  <c r="G23" i="5" l="1"/>
  <c r="G35" i="5" s="1"/>
  <c r="H36" i="5"/>
  <c r="H23" i="5"/>
  <c r="H35" i="5" s="1"/>
  <c r="G36" i="5"/>
  <c r="G34" i="5"/>
  <c r="H34" i="5"/>
  <c r="F23" i="5"/>
  <c r="F35" i="5" s="1"/>
  <c r="F34" i="5"/>
  <c r="E34" i="5"/>
  <c r="E23" i="5"/>
  <c r="E35" i="5" s="1"/>
  <c r="J13" i="3"/>
  <c r="J12" i="3"/>
  <c r="J11" i="3"/>
  <c r="I8" i="3"/>
  <c r="I3" i="3"/>
  <c r="E7" i="3"/>
  <c r="I7" i="3"/>
  <c r="F32" i="5" l="1"/>
  <c r="F39" i="5" s="1"/>
  <c r="F42" i="5" s="1"/>
  <c r="F43" i="5" s="1"/>
  <c r="G32" i="5"/>
  <c r="G39" i="5" s="1"/>
  <c r="G42" i="5" s="1"/>
  <c r="G43" i="5" s="1"/>
  <c r="H32" i="5"/>
  <c r="H39" i="5" s="1"/>
  <c r="H42" i="5" s="1"/>
  <c r="H43" i="5" s="1"/>
  <c r="E32" i="5"/>
  <c r="E39" i="5" s="1"/>
  <c r="E43" i="5" s="1"/>
  <c r="H40" i="5"/>
  <c r="H41" i="5" s="1"/>
  <c r="G40" i="5"/>
  <c r="G41" i="5" s="1"/>
  <c r="F40" i="5"/>
  <c r="F41" i="5" s="1"/>
  <c r="E40" i="5"/>
  <c r="E41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tc={8B4EAA37-4F6E-4683-ACD1-08FB04C43455}</author>
    <author>tc={5708C348-F652-4EAB-8E0D-527E2A999635}</author>
  </authors>
  <commentList>
    <comment ref="C3" authorId="0" shapeId="0" xr:uid="{8B4EAA37-4F6E-4683-ACD1-08FB04C43455}">
      <text>
        <t>[Threaded comment]
Your version of Excel allows you to read this threaded comment; however, any edits to it will get removed if the file is opened in a newer version of Excel. Learn more: https://go.microsoft.com/fwlink/?linkid=870924
Comment:
    나중에 CLmax도 range 설정할 수 있게 수정하자</t>
      </text>
    </comment>
    <comment ref="E10" authorId="1" shapeId="0" xr:uid="{5708C348-F652-4EAB-8E0D-527E2A999635}">
      <text>
        <t>[Threaded comment]
Your version of Excel allows you to read this threaded comment; however, any edits to it will get removed if the file is opened in a newer version of Excel. Learn more: https://go.microsoft.com/fwlink/?linkid=870924
Comment:
    Alt_Ft 읽어서 자동으로 계산되도록 수정필요</t>
      </text>
    </comment>
  </commentList>
</comments>
</file>

<file path=xl/sharedStrings.xml><?xml version="1.0" encoding="utf-8"?>
<sst xmlns="http://schemas.openxmlformats.org/spreadsheetml/2006/main" count="298" uniqueCount="219">
  <si>
    <t>Design requirements</t>
  </si>
  <si>
    <t>acceleration</t>
  </si>
  <si>
    <t>turn rate</t>
  </si>
  <si>
    <t>max cruise speed</t>
  </si>
  <si>
    <t>climb rate</t>
  </si>
  <si>
    <t>time to climb to some altitude</t>
  </si>
  <si>
    <t>manuevering</t>
  </si>
  <si>
    <t>Stall speed sizing</t>
  </si>
  <si>
    <t>CLmax</t>
  </si>
  <si>
    <t>kts</t>
  </si>
  <si>
    <t>kg</t>
  </si>
  <si>
    <t>lbs</t>
  </si>
  <si>
    <t>Payload</t>
  </si>
  <si>
    <t>Range</t>
  </si>
  <si>
    <t>nm</t>
  </si>
  <si>
    <t>km</t>
  </si>
  <si>
    <t>CLmax_TO</t>
  </si>
  <si>
    <t>kg/m^3</t>
  </si>
  <si>
    <t>-</t>
  </si>
  <si>
    <t>m/s</t>
  </si>
  <si>
    <t>WL_TO (flaps down)</t>
  </si>
  <si>
    <t>WL_TO (flaps up)</t>
  </si>
  <si>
    <t>psf</t>
  </si>
  <si>
    <t>Stall speed (flaps up)</t>
  </si>
  <si>
    <t>Stall speed (flaps down)</t>
  </si>
  <si>
    <t>Vs0</t>
    <phoneticPr fontId="2" type="noConversion"/>
  </si>
  <si>
    <t>Vs1</t>
    <phoneticPr fontId="2" type="noConversion"/>
  </si>
  <si>
    <t>m/s</t>
    <phoneticPr fontId="2" type="noConversion"/>
  </si>
  <si>
    <t>kts</t>
    <phoneticPr fontId="2" type="noConversion"/>
  </si>
  <si>
    <t>Take-off distance sizing</t>
    <phoneticPr fontId="2" type="noConversion"/>
  </si>
  <si>
    <t>m</t>
    <phoneticPr fontId="2" type="noConversion"/>
  </si>
  <si>
    <t>ft</t>
    <phoneticPr fontId="2" type="noConversion"/>
  </si>
  <si>
    <t>Takeoff field length</t>
    <phoneticPr fontId="2" type="noConversion"/>
  </si>
  <si>
    <t>Takeoff ground roll distance</t>
    <phoneticPr fontId="2" type="noConversion"/>
  </si>
  <si>
    <t>MGTOW</t>
    <phoneticPr fontId="2" type="noConversion"/>
  </si>
  <si>
    <t>MGLW</t>
    <phoneticPr fontId="2" type="noConversion"/>
  </si>
  <si>
    <t>kg</t>
    <phoneticPr fontId="2" type="noConversion"/>
  </si>
  <si>
    <t>lbs</t>
    <phoneticPr fontId="2" type="noConversion"/>
  </si>
  <si>
    <t>Wind limits - Headwind</t>
    <phoneticPr fontId="2" type="noConversion"/>
  </si>
  <si>
    <t>Wind limits - Crosswind</t>
    <phoneticPr fontId="2" type="noConversion"/>
  </si>
  <si>
    <t>Wind limits - Tailwind</t>
    <phoneticPr fontId="2" type="noConversion"/>
  </si>
  <si>
    <t>Wind limits - Gust spread</t>
    <phoneticPr fontId="2" type="noConversion"/>
  </si>
  <si>
    <t>V approach (with flaps in landing cofiguration)</t>
    <phoneticPr fontId="2" type="noConversion"/>
  </si>
  <si>
    <t>Max descent rate at touchdown</t>
    <phoneticPr fontId="2" type="noConversion"/>
  </si>
  <si>
    <t>ft/s</t>
    <phoneticPr fontId="2" type="noConversion"/>
  </si>
  <si>
    <t>L/W at touchdown</t>
    <phoneticPr fontId="2" type="noConversion"/>
  </si>
  <si>
    <t>Service ceiling (MSL, STD)</t>
    <phoneticPr fontId="2" type="noConversion"/>
  </si>
  <si>
    <t>Service ceiling: best rate of climb in steady un-acclerated flight no longer exceeds 100 ftpm</t>
    <phoneticPr fontId="2" type="noConversion"/>
  </si>
  <si>
    <t>Minimum operational altitude (T)</t>
    <phoneticPr fontId="2" type="noConversion"/>
  </si>
  <si>
    <t>Minimum operational altitude (O)</t>
    <phoneticPr fontId="2" type="noConversion"/>
  </si>
  <si>
    <t>Level horizontal speed (minimum) (T)</t>
    <phoneticPr fontId="2" type="noConversion"/>
  </si>
  <si>
    <t>Level horizontal speed (minimum) (O)</t>
    <phoneticPr fontId="2" type="noConversion"/>
  </si>
  <si>
    <t>in level flight between 5,000-20,000 ft pressure altitude in clean wing configuration</t>
    <phoneticPr fontId="2" type="noConversion"/>
  </si>
  <si>
    <t>Internal payload weight capacity (T)</t>
    <phoneticPr fontId="2" type="noConversion"/>
  </si>
  <si>
    <t>Internal payload weight capacity (O)</t>
    <phoneticPr fontId="2" type="noConversion"/>
  </si>
  <si>
    <t>Fuel capacity</t>
    <phoneticPr fontId="2" type="noConversion"/>
  </si>
  <si>
    <t>Engine</t>
    <phoneticPr fontId="2" type="noConversion"/>
  </si>
  <si>
    <t>Rolls Royce M250 (504HP)</t>
    <phoneticPr fontId="2" type="noConversion"/>
  </si>
  <si>
    <t>HP</t>
    <phoneticPr fontId="2" type="noConversion"/>
  </si>
  <si>
    <t>Dash speed</t>
    <phoneticPr fontId="2" type="noConversion"/>
  </si>
  <si>
    <t>N/m^2</t>
    <phoneticPr fontId="2" type="noConversion"/>
  </si>
  <si>
    <t>kgf/m^2</t>
    <phoneticPr fontId="2" type="noConversion"/>
  </si>
  <si>
    <t>W_TO</t>
    <phoneticPr fontId="2" type="noConversion"/>
  </si>
  <si>
    <t>V_TO</t>
    <phoneticPr fontId="2" type="noConversion"/>
  </si>
  <si>
    <t>rho</t>
    <phoneticPr fontId="2" type="noConversion"/>
  </si>
  <si>
    <t>Air density</t>
    <phoneticPr fontId="2" type="noConversion"/>
  </si>
  <si>
    <t>Stall speed with flaps down</t>
    <phoneticPr fontId="2" type="noConversion"/>
  </si>
  <si>
    <t>Stall speed with flaps up</t>
    <phoneticPr fontId="2" type="noConversion"/>
  </si>
  <si>
    <t>Take-off weight</t>
    <phoneticPr fontId="2" type="noConversion"/>
  </si>
  <si>
    <t>Take-off speed (Lift-off speed)</t>
    <phoneticPr fontId="2" type="noConversion"/>
  </si>
  <si>
    <t>Thrust-to-weight ratio at take-off</t>
    <phoneticPr fontId="2" type="noConversion"/>
  </si>
  <si>
    <t>TW_TO</t>
    <phoneticPr fontId="2" type="noConversion"/>
  </si>
  <si>
    <t>Weight-to-power ratio at take-off</t>
    <phoneticPr fontId="2" type="noConversion"/>
  </si>
  <si>
    <t>WP_TO</t>
    <phoneticPr fontId="2" type="noConversion"/>
  </si>
  <si>
    <t>Aerodynamic drag coefficient</t>
    <phoneticPr fontId="2" type="noConversion"/>
  </si>
  <si>
    <t>CD_G</t>
    <phoneticPr fontId="2" type="noConversion"/>
  </si>
  <si>
    <t>Ground friction coefficient</t>
    <phoneticPr fontId="2" type="noConversion"/>
  </si>
  <si>
    <t>mu_G</t>
    <phoneticPr fontId="2" type="noConversion"/>
  </si>
  <si>
    <t>TOP_23 (S_TOG)</t>
    <phoneticPr fontId="2" type="noConversion"/>
  </si>
  <si>
    <t>TOP_23 (S_TO)</t>
    <phoneticPr fontId="2" type="noConversion"/>
  </si>
  <si>
    <t>lbs^2/ft^2hp</t>
    <phoneticPr fontId="2" type="noConversion"/>
  </si>
  <si>
    <t>Take-off parameter for FAR 23 Airplane</t>
    <phoneticPr fontId="2" type="noConversion"/>
  </si>
  <si>
    <t>sigma</t>
    <phoneticPr fontId="2" type="noConversion"/>
  </si>
  <si>
    <t>Air density ratio? (5000ft)</t>
    <phoneticPr fontId="2" type="noConversion"/>
  </si>
  <si>
    <t>-</t>
    <phoneticPr fontId="2" type="noConversion"/>
  </si>
  <si>
    <t>WL_TO (psf)</t>
    <phoneticPr fontId="2" type="noConversion"/>
  </si>
  <si>
    <t>PL_TO (lbs/hp)</t>
    <phoneticPr fontId="2" type="noConversion"/>
  </si>
  <si>
    <t>Takeoff altitude</t>
    <phoneticPr fontId="2" type="noConversion"/>
  </si>
  <si>
    <t>Take-off parameter for FAR 25 Airplane</t>
    <phoneticPr fontId="2" type="noConversion"/>
  </si>
  <si>
    <t>CLmax_PA</t>
  </si>
  <si>
    <t>Maximum lift coefficient with flaps up (clean)</t>
  </si>
  <si>
    <t>Maximum lift coefficient for landing</t>
  </si>
  <si>
    <t>Maximum lift coefficient for takeoff</t>
  </si>
  <si>
    <t>Mojave STOL</t>
  </si>
  <si>
    <t>Ground / 1000 ft</t>
  </si>
  <si>
    <t>short field 12 kts (T) / 15 kts (O)
normal field 20 kts</t>
  </si>
  <si>
    <t xml:space="preserve">Vstall=57/1.1 for GNC analysis; </t>
  </si>
  <si>
    <t>nominal paved runway 2000 ft
semi-prepared field stol 1000 ft
maritime 520 ft</t>
  </si>
  <si>
    <t>Takeoff field length (takeoff 50ft obstacle clearance)</t>
  </si>
  <si>
    <t>landing ground roll distance</t>
  </si>
  <si>
    <t>ft</t>
  </si>
  <si>
    <t>nominal paved runway 1730 ftsemin-prepared field STOL 730 ft
maritime 270 ft</t>
  </si>
  <si>
    <t xml:space="preserve">landing field length (landing 50 ft obstacle clearance) </t>
  </si>
  <si>
    <t>Takeoff</t>
  </si>
  <si>
    <t>K_TO</t>
  </si>
  <si>
    <t>mu</t>
  </si>
  <si>
    <t>lb</t>
  </si>
  <si>
    <t>kn</t>
  </si>
  <si>
    <t>m</t>
  </si>
  <si>
    <t>K_A</t>
  </si>
  <si>
    <t>m/s2</t>
  </si>
  <si>
    <t>N</t>
  </si>
  <si>
    <t>kg/m3</t>
  </si>
  <si>
    <t>Wing Area</t>
  </si>
  <si>
    <t>m2</t>
  </si>
  <si>
    <t>S_w_m2</t>
  </si>
  <si>
    <t>S_w_ft2</t>
  </si>
  <si>
    <t>ft2</t>
  </si>
  <si>
    <t>V_TO_mps</t>
  </si>
  <si>
    <t>rho_kgpm3</t>
  </si>
  <si>
    <t>g_mps2</t>
  </si>
  <si>
    <t>degC</t>
  </si>
  <si>
    <t>Flight Configuration</t>
  </si>
  <si>
    <t>Outside Air Temperature @ SL</t>
  </si>
  <si>
    <t>Altitude (ft MSL)</t>
  </si>
  <si>
    <t>Airspeed</t>
  </si>
  <si>
    <t>h_TO_ft</t>
  </si>
  <si>
    <t>T_TO_degC</t>
  </si>
  <si>
    <t>Mass Porperties</t>
  </si>
  <si>
    <t>Aircraft Configuration</t>
  </si>
  <si>
    <t>Aileron Droop</t>
  </si>
  <si>
    <t>deg</t>
  </si>
  <si>
    <t>Flap</t>
  </si>
  <si>
    <t>Max Gross Takeoff/Landing Weight</t>
  </si>
  <si>
    <t>MGW_kg</t>
  </si>
  <si>
    <t>MGW_lb</t>
  </si>
  <si>
    <t>dA</t>
  </si>
  <si>
    <t>dF</t>
  </si>
  <si>
    <t>V_stall_kn</t>
  </si>
  <si>
    <t>V_TO_kn</t>
  </si>
  <si>
    <t>Coeff1</t>
  </si>
  <si>
    <t>Coeff2</t>
  </si>
  <si>
    <t>0.04 for Rolling Unbraked Firm Dirt</t>
  </si>
  <si>
    <t>lbf</t>
  </si>
  <si>
    <t>K_T</t>
  </si>
  <si>
    <t>K_T = Thrust_N / W_kg - mu</t>
  </si>
  <si>
    <t>Stall Speed</t>
  </si>
  <si>
    <t>Dry concrete/asphalt</t>
  </si>
  <si>
    <t>Wet concrete/asphalt</t>
  </si>
  <si>
    <t>Icy concrete/asphalt</t>
  </si>
  <si>
    <t>Hard turf</t>
  </si>
  <si>
    <t>Firm dirt</t>
  </si>
  <si>
    <t>Soft turf</t>
  </si>
  <si>
    <t>Wet grass</t>
  </si>
  <si>
    <t>Brakes On</t>
  </si>
  <si>
    <t>0.03-0.05</t>
  </si>
  <si>
    <t>0.3-0.5</t>
  </si>
  <si>
    <t>0.15-0.30</t>
  </si>
  <si>
    <t>0.06-0.10</t>
  </si>
  <si>
    <t>Rolling 
(Unbraked)</t>
  </si>
  <si>
    <t>Ground Rolling Resistance</t>
  </si>
  <si>
    <t>MGW_N</t>
  </si>
  <si>
    <t>Flight Phase</t>
  </si>
  <si>
    <t>Multiflier</t>
  </si>
  <si>
    <t>CDo</t>
  </si>
  <si>
    <t>Max CL</t>
  </si>
  <si>
    <t>Thurst</t>
  </si>
  <si>
    <t>K = 1 / (PI * e * AR)</t>
  </si>
  <si>
    <t>MAC_ft</t>
  </si>
  <si>
    <t>MAC_m</t>
  </si>
  <si>
    <t>Aspect Ratio</t>
  </si>
  <si>
    <t>AR</t>
  </si>
  <si>
    <t>Wing Span</t>
  </si>
  <si>
    <t>b_w_ft</t>
  </si>
  <si>
    <t>b_w_m</t>
  </si>
  <si>
    <t>CL_max</t>
  </si>
  <si>
    <t>CDO</t>
  </si>
  <si>
    <t>Initial Speed</t>
  </si>
  <si>
    <t>Gravitation Acceleration</t>
  </si>
  <si>
    <t>Rolling Coefficient</t>
  </si>
  <si>
    <t>Air Density</t>
  </si>
  <si>
    <t>Chord Length</t>
  </si>
  <si>
    <t>Induced Drag Coefficient</t>
  </si>
  <si>
    <t>Final Speed</t>
  </si>
  <si>
    <t>Vi_mps</t>
  </si>
  <si>
    <t>Vf_mps</t>
  </si>
  <si>
    <t>2.8 for aileron droop; 2.66 for no aileron</t>
  </si>
  <si>
    <t>CL</t>
  </si>
  <si>
    <t>CL_max*V_stall^2 = CL*(1.1*V_stall)^2; CL=CL_max/(1.1)^2</t>
  </si>
  <si>
    <t>K_A = rho/(2*W_N/S_w_m2*(-Cdo -K*CL^2 +mu*CL)</t>
  </si>
  <si>
    <t>Landing</t>
  </si>
  <si>
    <t>Takeoff
Semi-prepared (Firm Dirt)</t>
  </si>
  <si>
    <t>Takeoff
Semi-perpared (Firm Dirt)</t>
  </si>
  <si>
    <t>Landing
Semi-prepared (Firm Dirt)</t>
  </si>
  <si>
    <t>Landing
Semi-perpared (Firm Dirt)</t>
  </si>
  <si>
    <t>S_G_m</t>
  </si>
  <si>
    <t>S_G_ft</t>
  </si>
  <si>
    <t>F1</t>
  </si>
  <si>
    <t>F0</t>
  </si>
  <si>
    <t>Drag</t>
  </si>
  <si>
    <t>Reverse Thrust</t>
  </si>
  <si>
    <t>TR_N</t>
  </si>
  <si>
    <t>T_lbf</t>
  </si>
  <si>
    <t>T_N</t>
  </si>
  <si>
    <t>D_N</t>
  </si>
  <si>
    <t>F_0_N</t>
  </si>
  <si>
    <t>F_1_N</t>
  </si>
  <si>
    <t>F_1=T-D for Takeoff; F_1=TR+D for Landing</t>
  </si>
  <si>
    <t>F_0=T-mu*W for Takeoff; F_0=TR+mu*W for Landing</t>
  </si>
  <si>
    <t>Ground Roll Distance (Pamadi)</t>
  </si>
  <si>
    <t>Ground Roll Distance (Raymer)</t>
  </si>
  <si>
    <t>S_1=W/(2*g)*V^2/(F_0-F_1)*ln(F_0/F_1)</t>
  </si>
  <si>
    <t>Taxi</t>
  </si>
  <si>
    <t>Climb</t>
  </si>
  <si>
    <t>Ingress</t>
  </si>
  <si>
    <t>Loiter</t>
  </si>
  <si>
    <t>Egress</t>
  </si>
  <si>
    <t>Descent</t>
  </si>
  <si>
    <t>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</si>
</sst>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"/>
    <numFmt numFmtId="168" formatCode="0.000"/>
    <numFmt numFmtId="173" formatCode="0.0E+00"/>
  </numFmts>
  <fonts count="4" x14ac:knownFonts="1">
    <font>
      <sz val="11"/>
      <color theme="1"/>
      <name val="Aptos Narrow"/>
      <family val="2"/>
      <charset val="129"/>
      <scheme val="minor"/>
    </font>
    <font>
      <sz val="11"/>
      <color theme="1"/>
      <name val="Calibri"/>
      <family val="2"/>
    </font>
    <font>
      <sz val="8"/>
      <name val="Aptos Narrow"/>
      <family val="2"/>
      <charset val="129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2" borderId="0" xfId="0" applyFont="1" applyFill="1"/>
    <xf numFmtId="0" fontId="1" fillId="0" borderId="0" xfId="0" applyFont="1" applyAlignment="1">
      <alignment vertical="center"/>
    </xf>
    <xf numFmtId="1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1" fillId="0" borderId="2" xfId="0" applyFont="1" applyFill="1" applyBorder="1" applyAlignment="1">
      <alignment horizontal="left" vertical="center"/>
    </xf>
    <xf numFmtId="0" fontId="1" fillId="0" borderId="4" xfId="0" applyFont="1" applyFill="1" applyBorder="1" applyAlignment="1">
      <alignment horizontal="left" vertical="center"/>
    </xf>
    <xf numFmtId="0" fontId="1" fillId="0" borderId="4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168" fontId="1" fillId="0" borderId="1" xfId="0" applyNumberFormat="1" applyFont="1" applyBorder="1" applyAlignment="1">
      <alignment horizontal="center" vertical="center"/>
    </xf>
    <xf numFmtId="173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254000</xdr:colOff>
      <xdr:row>2</xdr:row>
      <xdr:rowOff>25400</xdr:rowOff>
    </xdr:from>
    <xdr:ext cx="1080167" cy="3181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47C7BC0-BD44-7C4B-68F1-25639A8996F0}"/>
                </a:ext>
              </a:extLst>
            </xdr:cNvPr>
            <xdr:cNvSpPr txBox="1"/>
          </xdr:nvSpPr>
          <xdr:spPr>
            <a:xfrm>
              <a:off x="8553450" y="393700"/>
              <a:ext cx="1080167" cy="318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num>
                      <m:den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den>
                    </m:f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𝜌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𝑚𝑎𝑥</m:t>
                        </m:r>
                      </m:sub>
                    </m:sSub>
                  </m:oMath>
                </m:oMathPara>
              </a14:m>
              <a:endParaRPr lang="ko-KR" alt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47C7BC0-BD44-7C4B-68F1-25639A8996F0}"/>
                </a:ext>
              </a:extLst>
            </xdr:cNvPr>
            <xdr:cNvSpPr txBox="1"/>
          </xdr:nvSpPr>
          <xdr:spPr>
            <a:xfrm>
              <a:off x="8553450" y="393700"/>
              <a:ext cx="1080167" cy="318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100" b="0" i="0">
                  <a:latin typeface="Cambria Math" panose="02040503050406030204" pitchFamily="18" charset="0"/>
                </a:rPr>
                <a:t>𝑊/𝑆=1/2 𝜌𝑉_𝑠^2 𝐶_(𝐿,𝑚𝑎𝑥)</a:t>
              </a:r>
              <a:endParaRPr lang="ko-KR" altLang="en-US" sz="1100"/>
            </a:p>
          </xdr:txBody>
        </xdr:sp>
      </mc:Fallback>
    </mc:AlternateContent>
    <xdr:clientData/>
  </xdr:oneCellAnchor>
  <xdr:oneCellAnchor>
    <xdr:from>
      <xdr:col>13</xdr:col>
      <xdr:colOff>361950</xdr:colOff>
      <xdr:row>9</xdr:row>
      <xdr:rowOff>50800</xdr:rowOff>
    </xdr:from>
    <xdr:ext cx="2415598" cy="89825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B6F9E15-ADC9-4F6E-B297-D7EAA63AD3DF}"/>
                </a:ext>
              </a:extLst>
            </xdr:cNvPr>
            <xdr:cNvSpPr txBox="1"/>
          </xdr:nvSpPr>
          <xdr:spPr>
            <a:xfrm>
              <a:off x="11950700" y="1708150"/>
              <a:ext cx="2415598" cy="89825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𝑆</m:t>
                        </m:r>
                      </m:e>
                      <m:sub>
                        <m:r>
                          <a:rPr lang="en-US" altLang="ko-K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𝑇𝑂𝐺</m:t>
                        </m:r>
                      </m:sub>
                    </m:sSub>
                    <m:r>
                      <a:rPr lang="en-US" altLang="ko-K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∝</m:t>
                    </m:r>
                    <m:f>
                      <m:fPr>
                        <m:ctrlPr>
                          <a:rPr lang="en-US" altLang="ko-K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altLang="ko-K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d>
                              <m:dPr>
                                <m:ctrlPr>
                                  <a:rPr lang="en-US" altLang="ko-KR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dPr>
                              <m:e>
                                <m:r>
                                  <a:rPr lang="en-US" altLang="ko-KR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𝑊</m:t>
                                </m:r>
                                <m:r>
                                  <a:rPr lang="en-US" altLang="ko-KR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/</m:t>
                                </m:r>
                                <m:r>
                                  <a:rPr lang="en-US" altLang="ko-KR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</m:d>
                          </m:e>
                          <m:sub>
                            <m:r>
                              <a:rPr lang="en-US" altLang="ko-K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𝑇𝑂</m:t>
                            </m:r>
                          </m:sub>
                        </m:sSub>
                        <m:sSub>
                          <m:sSubPr>
                            <m:ctrlPr>
                              <a:rPr lang="en-US" altLang="ko-K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d>
                              <m:dPr>
                                <m:ctrlPr>
                                  <a:rPr lang="en-US" altLang="ko-KR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dPr>
                              <m:e>
                                <m:r>
                                  <a:rPr lang="en-US" altLang="ko-KR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𝑊</m:t>
                                </m:r>
                                <m:r>
                                  <a:rPr lang="en-US" altLang="ko-KR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/</m:t>
                                </m:r>
                                <m:r>
                                  <a:rPr lang="en-US" altLang="ko-KR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𝑃</m:t>
                                </m:r>
                              </m:e>
                            </m:d>
                          </m:e>
                          <m:sub>
                            <m:r>
                              <a:rPr lang="en-US" altLang="ko-K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𝑇𝑂</m:t>
                            </m:r>
                          </m:sub>
                        </m:sSub>
                      </m:num>
                      <m:den>
                        <m:r>
                          <a:rPr lang="en-US" altLang="ko-K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𝜎</m:t>
                        </m:r>
                        <m:sSub>
                          <m:sSubPr>
                            <m:ctrlPr>
                              <a:rPr lang="en-US" altLang="ko-K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US" altLang="ko-K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  <m:r>
                              <a:rPr lang="en-US" altLang="ko-K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,</m:t>
                            </m:r>
                            <m:r>
                              <a:rPr lang="en-US" altLang="ko-K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𝑚𝑎𝑥</m:t>
                            </m:r>
                            <m:r>
                              <a:rPr lang="en-US" altLang="ko-K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,</m:t>
                            </m:r>
                            <m:r>
                              <a:rPr lang="en-US" altLang="ko-K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𝑇𝑂</m:t>
                            </m:r>
                          </m:sub>
                        </m:sSub>
                      </m:den>
                    </m:f>
                    <m:r>
                      <a:rPr lang="en-US" altLang="ko-K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altLang="ko-K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𝑇𝑂</m:t>
                    </m:r>
                    <m:sSub>
                      <m:sSubPr>
                        <m:ctrlPr>
                          <a:rPr lang="en-US" altLang="ko-K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</m:t>
                        </m:r>
                      </m:e>
                      <m:sub>
                        <m:r>
                          <a:rPr lang="en-US" altLang="ko-K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23</m:t>
                        </m:r>
                      </m:sub>
                    </m:sSub>
                  </m:oMath>
                </m:oMathPara>
              </a14:m>
              <a:endParaRPr lang="en-US" altLang="ko-KR" sz="1100" b="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𝑇𝑂𝐺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=4.9(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𝑇𝑂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23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)+0.009</m:t>
                    </m:r>
                    <m:sSup>
                      <m:s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𝑇𝑂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𝑃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23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altLang="ko-KR" sz="1100"/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𝑆</m:t>
                        </m:r>
                      </m:e>
                      <m:sub>
                        <m:r>
                          <a:rPr lang="en-US" altLang="ko-K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𝑇𝑂</m:t>
                        </m:r>
                      </m:sub>
                    </m:sSub>
                    <m:r>
                      <a:rPr lang="en-US" altLang="ko-K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=1.66</m:t>
                    </m:r>
                    <m:d>
                      <m:dPr>
                        <m:ctrlPr>
                          <a:rPr lang="en-US" altLang="ko-K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en-US" altLang="ko-K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𝑇𝑂𝐺</m:t>
                            </m:r>
                          </m:sub>
                        </m:sSub>
                      </m:e>
                    </m:d>
                  </m:oMath>
                  <m:oMath xmlns:m="http://schemas.openxmlformats.org/officeDocument/2006/math">
                    <m:sSub>
                      <m:sSubPr>
                        <m:ctrlPr>
                          <a:rPr lang="en-US" altLang="ko-KR" b="0" i="1">
                            <a:effectLst/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b="0" i="1">
                            <a:effectLst/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altLang="ko-KR" b="0" i="1">
                            <a:effectLst/>
                            <a:latin typeface="Cambria Math" panose="02040503050406030204" pitchFamily="18" charset="0"/>
                          </a:rPr>
                          <m:t>𝑇𝑂</m:t>
                        </m:r>
                      </m:sub>
                    </m:sSub>
                    <m:r>
                      <a:rPr lang="en-US" altLang="ko-KR" b="0" i="1">
                        <a:effectLst/>
                        <a:latin typeface="Cambria Math" panose="02040503050406030204" pitchFamily="18" charset="0"/>
                      </a:rPr>
                      <m:t>=8.134</m:t>
                    </m:r>
                    <m:d>
                      <m:dPr>
                        <m:ctrlPr>
                          <a:rPr lang="en-US" altLang="ko-KR" b="0" i="1">
                            <a:effectLst/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altLang="ko-KR" b="0" i="1">
                            <a:effectLst/>
                            <a:latin typeface="Cambria Math" panose="02040503050406030204" pitchFamily="18" charset="0"/>
                          </a:rPr>
                          <m:t>𝑇𝑂</m:t>
                        </m:r>
                        <m:sSub>
                          <m:sSubPr>
                            <m:ctrlPr>
                              <a:rPr lang="en-US" altLang="ko-KR" b="0" i="1">
                                <a:effectLst/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b="0" i="1">
                                <a:effectLst/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altLang="ko-KR" b="0" i="1">
                                <a:effectLst/>
                                <a:latin typeface="Cambria Math" panose="02040503050406030204" pitchFamily="18" charset="0"/>
                              </a:rPr>
                              <m:t>23</m:t>
                            </m:r>
                          </m:sub>
                        </m:sSub>
                      </m:e>
                    </m:d>
                    <m:r>
                      <a:rPr lang="en-US" altLang="ko-KR" b="0" i="1">
                        <a:effectLst/>
                        <a:latin typeface="Cambria Math" panose="02040503050406030204" pitchFamily="18" charset="0"/>
                      </a:rPr>
                      <m:t>+0.0149</m:t>
                    </m:r>
                    <m:sSup>
                      <m:sSupPr>
                        <m:ctrlPr>
                          <a:rPr lang="en-US" altLang="ko-KR" b="0" i="1">
                            <a:effectLst/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b="0" i="1">
                                <a:effectLst/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altLang="ko-KR" b="0" i="1">
                                <a:effectLst/>
                                <a:latin typeface="Cambria Math" panose="02040503050406030204" pitchFamily="18" charset="0"/>
                              </a:rPr>
                              <m:t>𝑇𝑂</m:t>
                            </m:r>
                            <m:sSub>
                              <m:sSubPr>
                                <m:ctrlPr>
                                  <a:rPr lang="en-US" altLang="ko-KR" b="0" i="1">
                                    <a:effectLst/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b="0" i="1">
                                    <a:effectLst/>
                                    <a:latin typeface="Cambria Math" panose="02040503050406030204" pitchFamily="18" charset="0"/>
                                  </a:rPr>
                                  <m:t>𝑃</m:t>
                                </m:r>
                              </m:e>
                              <m:sub>
                                <m:r>
                                  <a:rPr lang="en-US" altLang="ko-KR" b="0" i="1">
                                    <a:effectLst/>
                                    <a:latin typeface="Cambria Math" panose="02040503050406030204" pitchFamily="18" charset="0"/>
                                  </a:rPr>
                                  <m:t>23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altLang="ko-KR" b="0" i="1">
                            <a:effectLst/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ko-KR" altLang="ko-KR">
                <a:effectLst/>
              </a:endParaRPr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B6F9E15-ADC9-4F6E-B297-D7EAA63AD3DF}"/>
                </a:ext>
              </a:extLst>
            </xdr:cNvPr>
            <xdr:cNvSpPr txBox="1"/>
          </xdr:nvSpPr>
          <xdr:spPr>
            <a:xfrm>
              <a:off x="11950700" y="1708150"/>
              <a:ext cx="2415598" cy="89825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n-US" altLang="ko-K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𝑆_𝑇𝑂𝐺</a:t>
              </a:r>
              <a:r>
                <a:rPr lang="en-US" altLang="ko-K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∝</a:t>
              </a:r>
              <a:r>
                <a:rPr lang="en-US" altLang="ko-K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((𝑊/𝑆)_𝑇𝑂 (𝑊/𝑃)_𝑇𝑂)/(𝜎𝐶_(𝐿,𝑚𝑎𝑥,𝑇𝑂) )=𝑇𝑂𝑃_23</a:t>
              </a:r>
              <a:endParaRPr lang="en-US" altLang="ko-KR" sz="1100" b="0" i="1">
                <a:latin typeface="Cambria Math" panose="02040503050406030204" pitchFamily="18" charset="0"/>
              </a:endParaRPr>
            </a:p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𝑆_𝑇𝑂𝐺=4.9(𝑇𝑂𝑃_23)+0.009(𝑇𝑂𝑃_23 )^2</a:t>
              </a:r>
              <a:endParaRPr lang="en-US" altLang="ko-KR" sz="1100"/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n-US" altLang="ko-K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𝑆_𝑇𝑂</a:t>
              </a:r>
              <a:r>
                <a:rPr lang="en-US" altLang="ko-K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=1.66(𝑆_𝑇𝑂𝐺 )</a:t>
              </a:r>
              <a:br>
                <a:rPr lang="en-US" altLang="ko-KR">
                  <a:effectLst/>
                </a:rPr>
              </a:br>
              <a:r>
                <a:rPr lang="en-US" altLang="ko-KR" b="0" i="0">
                  <a:effectLst/>
                  <a:latin typeface="Cambria Math" panose="02040503050406030204" pitchFamily="18" charset="0"/>
                </a:rPr>
                <a:t>𝑆_𝑇𝑂=8.134(𝑇𝑂𝑃_23 )+0.0149(𝑇𝑂𝑃_23 )^2</a:t>
              </a:r>
              <a:endParaRPr lang="ko-KR" altLang="ko-KR">
                <a:effectLst/>
              </a:endParaRPr>
            </a:p>
          </xdr:txBody>
        </xdr:sp>
      </mc:Fallback>
    </mc:AlternateContent>
    <xdr:clientData/>
  </xdr:oneCellAnchor>
  <xdr:oneCellAnchor>
    <xdr:from>
      <xdr:col>13</xdr:col>
      <xdr:colOff>444500</xdr:colOff>
      <xdr:row>16</xdr:row>
      <xdr:rowOff>50800</xdr:rowOff>
    </xdr:from>
    <xdr:ext cx="2415598" cy="89825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4DBC19E1-7E96-4F9A-96B8-C1288AE36C12}"/>
                </a:ext>
              </a:extLst>
            </xdr:cNvPr>
            <xdr:cNvSpPr txBox="1"/>
          </xdr:nvSpPr>
          <xdr:spPr>
            <a:xfrm>
              <a:off x="12033250" y="2997200"/>
              <a:ext cx="2415598" cy="89825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𝑆</m:t>
                        </m:r>
                      </m:e>
                      <m:sub>
                        <m:r>
                          <a:rPr lang="en-US" altLang="ko-K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𝑇𝑂𝐺</m:t>
                        </m:r>
                      </m:sub>
                    </m:sSub>
                    <m:r>
                      <a:rPr lang="en-US" altLang="ko-K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∝</m:t>
                    </m:r>
                    <m:f>
                      <m:fPr>
                        <m:ctrlPr>
                          <a:rPr lang="en-US" altLang="ko-K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altLang="ko-K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d>
                              <m:dPr>
                                <m:ctrlPr>
                                  <a:rPr lang="en-US" altLang="ko-KR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dPr>
                              <m:e>
                                <m:r>
                                  <a:rPr lang="en-US" altLang="ko-KR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𝑊</m:t>
                                </m:r>
                                <m:r>
                                  <a:rPr lang="en-US" altLang="ko-KR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/</m:t>
                                </m:r>
                                <m:r>
                                  <a:rPr lang="en-US" altLang="ko-KR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</m:d>
                          </m:e>
                          <m:sub>
                            <m:r>
                              <a:rPr lang="en-US" altLang="ko-K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𝑇𝑂</m:t>
                            </m:r>
                          </m:sub>
                        </m:sSub>
                        <m:sSub>
                          <m:sSubPr>
                            <m:ctrlPr>
                              <a:rPr lang="en-US" altLang="ko-K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d>
                              <m:dPr>
                                <m:ctrlPr>
                                  <a:rPr lang="en-US" altLang="ko-KR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dPr>
                              <m:e>
                                <m:r>
                                  <a:rPr lang="en-US" altLang="ko-KR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  <m:r>
                                  <a:rPr lang="en-US" altLang="ko-KR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/</m:t>
                                </m:r>
                                <m:r>
                                  <a:rPr lang="en-US" altLang="ko-KR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𝑊</m:t>
                                </m:r>
                              </m:e>
                            </m:d>
                          </m:e>
                          <m:sub>
                            <m:r>
                              <a:rPr lang="en-US" altLang="ko-K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𝑇𝑂</m:t>
                            </m:r>
                          </m:sub>
                        </m:sSub>
                      </m:num>
                      <m:den>
                        <m:r>
                          <a:rPr lang="en-US" altLang="ko-K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𝜎</m:t>
                        </m:r>
                        <m:sSub>
                          <m:sSubPr>
                            <m:ctrlPr>
                              <a:rPr lang="en-US" altLang="ko-K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US" altLang="ko-K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  <m:r>
                              <a:rPr lang="en-US" altLang="ko-K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,</m:t>
                            </m:r>
                            <m:r>
                              <a:rPr lang="en-US" altLang="ko-K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𝑚𝑎𝑥</m:t>
                            </m:r>
                            <m:r>
                              <a:rPr lang="en-US" altLang="ko-K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,</m:t>
                            </m:r>
                            <m:r>
                              <a:rPr lang="en-US" altLang="ko-K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𝑇𝑂</m:t>
                            </m:r>
                          </m:sub>
                        </m:sSub>
                      </m:den>
                    </m:f>
                    <m:r>
                      <a:rPr lang="en-US" altLang="ko-K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altLang="ko-K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𝑇𝑂</m:t>
                    </m:r>
                    <m:sSub>
                      <m:sSubPr>
                        <m:ctrlPr>
                          <a:rPr lang="en-US" altLang="ko-K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</m:t>
                        </m:r>
                      </m:e>
                      <m:sub>
                        <m:r>
                          <a:rPr lang="en-US" altLang="ko-K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23</m:t>
                        </m:r>
                      </m:sub>
                    </m:sSub>
                  </m:oMath>
                </m:oMathPara>
              </a14:m>
              <a:endParaRPr lang="en-US" altLang="ko-KR" sz="1100" b="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𝑇𝑂𝐺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=4.9(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𝑇𝑂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23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)+0.009</m:t>
                    </m:r>
                    <m:sSup>
                      <m:s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𝑇𝑂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𝑃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23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altLang="ko-KR" sz="1100"/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𝑆</m:t>
                        </m:r>
                      </m:e>
                      <m:sub>
                        <m:r>
                          <a:rPr lang="en-US" altLang="ko-K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𝑇𝑂</m:t>
                        </m:r>
                      </m:sub>
                    </m:sSub>
                    <m:r>
                      <a:rPr lang="en-US" altLang="ko-K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=1.66</m:t>
                    </m:r>
                    <m:d>
                      <m:dPr>
                        <m:ctrlPr>
                          <a:rPr lang="en-US" altLang="ko-K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en-US" altLang="ko-K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𝑇𝑂𝐺</m:t>
                            </m:r>
                          </m:sub>
                        </m:sSub>
                      </m:e>
                    </m:d>
                  </m:oMath>
                  <m:oMath xmlns:m="http://schemas.openxmlformats.org/officeDocument/2006/math">
                    <m:sSub>
                      <m:sSubPr>
                        <m:ctrlPr>
                          <a:rPr lang="en-US" altLang="ko-KR" b="0" i="1">
                            <a:effectLst/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b="0" i="1">
                            <a:effectLst/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altLang="ko-KR" b="0" i="1">
                            <a:effectLst/>
                            <a:latin typeface="Cambria Math" panose="02040503050406030204" pitchFamily="18" charset="0"/>
                          </a:rPr>
                          <m:t>𝑇𝑂</m:t>
                        </m:r>
                      </m:sub>
                    </m:sSub>
                    <m:r>
                      <a:rPr lang="en-US" altLang="ko-KR" b="0" i="1">
                        <a:effectLst/>
                        <a:latin typeface="Cambria Math" panose="02040503050406030204" pitchFamily="18" charset="0"/>
                      </a:rPr>
                      <m:t>=8.134</m:t>
                    </m:r>
                    <m:d>
                      <m:dPr>
                        <m:ctrlPr>
                          <a:rPr lang="en-US" altLang="ko-KR" b="0" i="1">
                            <a:effectLst/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altLang="ko-KR" b="0" i="1">
                            <a:effectLst/>
                            <a:latin typeface="Cambria Math" panose="02040503050406030204" pitchFamily="18" charset="0"/>
                          </a:rPr>
                          <m:t>𝑇𝑂</m:t>
                        </m:r>
                        <m:sSub>
                          <m:sSubPr>
                            <m:ctrlPr>
                              <a:rPr lang="en-US" altLang="ko-KR" b="0" i="1">
                                <a:effectLst/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b="0" i="1">
                                <a:effectLst/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altLang="ko-KR" b="0" i="1">
                                <a:effectLst/>
                                <a:latin typeface="Cambria Math" panose="02040503050406030204" pitchFamily="18" charset="0"/>
                              </a:rPr>
                              <m:t>23</m:t>
                            </m:r>
                          </m:sub>
                        </m:sSub>
                      </m:e>
                    </m:d>
                    <m:r>
                      <a:rPr lang="en-US" altLang="ko-KR" b="0" i="1">
                        <a:effectLst/>
                        <a:latin typeface="Cambria Math" panose="02040503050406030204" pitchFamily="18" charset="0"/>
                      </a:rPr>
                      <m:t>+0.0149</m:t>
                    </m:r>
                    <m:sSup>
                      <m:sSupPr>
                        <m:ctrlPr>
                          <a:rPr lang="en-US" altLang="ko-KR" b="0" i="1">
                            <a:effectLst/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b="0" i="1">
                                <a:effectLst/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altLang="ko-KR" b="0" i="1">
                                <a:effectLst/>
                                <a:latin typeface="Cambria Math" panose="02040503050406030204" pitchFamily="18" charset="0"/>
                              </a:rPr>
                              <m:t>𝑇𝑂</m:t>
                            </m:r>
                            <m:sSub>
                              <m:sSubPr>
                                <m:ctrlPr>
                                  <a:rPr lang="en-US" altLang="ko-KR" b="0" i="1">
                                    <a:effectLst/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b="0" i="1">
                                    <a:effectLst/>
                                    <a:latin typeface="Cambria Math" panose="02040503050406030204" pitchFamily="18" charset="0"/>
                                  </a:rPr>
                                  <m:t>𝑃</m:t>
                                </m:r>
                              </m:e>
                              <m:sub>
                                <m:r>
                                  <a:rPr lang="en-US" altLang="ko-KR" b="0" i="1">
                                    <a:effectLst/>
                                    <a:latin typeface="Cambria Math" panose="02040503050406030204" pitchFamily="18" charset="0"/>
                                  </a:rPr>
                                  <m:t>23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altLang="ko-KR" b="0" i="1">
                            <a:effectLst/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ko-KR" altLang="ko-KR">
                <a:effectLst/>
              </a:endParaRPr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4DBC19E1-7E96-4F9A-96B8-C1288AE36C12}"/>
                </a:ext>
              </a:extLst>
            </xdr:cNvPr>
            <xdr:cNvSpPr txBox="1"/>
          </xdr:nvSpPr>
          <xdr:spPr>
            <a:xfrm>
              <a:off x="12033250" y="2997200"/>
              <a:ext cx="2415598" cy="89825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n-US" altLang="ko-K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𝑆_𝑇𝑂𝐺</a:t>
              </a:r>
              <a:r>
                <a:rPr lang="en-US" altLang="ko-K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∝</a:t>
              </a:r>
              <a:r>
                <a:rPr lang="en-US" altLang="ko-K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((𝑊/𝑆)_𝑇𝑂 (𝑇/𝑊)_𝑇𝑂)/(𝜎𝐶_(𝐿,𝑚𝑎𝑥,𝑇𝑂) )=𝑇𝑂𝑃_23</a:t>
              </a:r>
              <a:endParaRPr lang="en-US" altLang="ko-KR" sz="1100" b="0" i="1">
                <a:latin typeface="Cambria Math" panose="02040503050406030204" pitchFamily="18" charset="0"/>
              </a:endParaRPr>
            </a:p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𝑆_𝑇𝑂𝐺=4.9(𝑇𝑂𝑃_23)+0.009(𝑇𝑂𝑃_23 )^2</a:t>
              </a:r>
              <a:endParaRPr lang="en-US" altLang="ko-KR" sz="1100"/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n-US" altLang="ko-K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𝑆_𝑇𝑂</a:t>
              </a:r>
              <a:r>
                <a:rPr lang="en-US" altLang="ko-K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=1.66(𝑆_𝑇𝑂𝐺 )</a:t>
              </a:r>
              <a:br>
                <a:rPr lang="en-US" altLang="ko-KR">
                  <a:effectLst/>
                </a:rPr>
              </a:br>
              <a:r>
                <a:rPr lang="en-US" altLang="ko-KR" b="0" i="0">
                  <a:effectLst/>
                  <a:latin typeface="Cambria Math" panose="02040503050406030204" pitchFamily="18" charset="0"/>
                </a:rPr>
                <a:t>𝑆_𝑇𝑂=8.134(𝑇𝑂𝑃_23 )+0.0149(𝑇𝑂𝑃_23 )^2</a:t>
              </a:r>
              <a:endParaRPr lang="ko-KR" altLang="ko-KR">
                <a:effectLst/>
              </a:endParaRPr>
            </a:p>
          </xdr:txBody>
        </xdr:sp>
      </mc:Fallback>
    </mc:AlternateContent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ehwan Park" id="{D8BA67B6-BC8B-4FBB-A014-CC2E51D1C7D0}" userId="2a91093fbf50c225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" dT="2026-04-18T17:59:13.12" personId="{D8BA67B6-BC8B-4FBB-A014-CC2E51D1C7D0}" id="{8B4EAA37-4F6E-4683-ACD1-08FB04C43455}">
    <text>나중에 CLmax도 range 설정할 수 있게 수정하자</text>
  </threadedComment>
  <threadedComment ref="E10" dT="2026-04-18T17:59:40.69" personId="{D8BA67B6-BC8B-4FBB-A014-CC2E51D1C7D0}" id="{5708C348-F652-4EAB-8E0D-527E2A999635}">
    <text>Alt_Ft 읽어서 자동으로 계산되도록 수정필요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FAB92-3D2F-40CB-A982-2BD3DCB260A2}">
  <dimension ref="A2:I45"/>
  <sheetViews>
    <sheetView workbookViewId="0">
      <selection activeCell="E8" sqref="E8"/>
    </sheetView>
  </sheetViews>
  <sheetFormatPr defaultColWidth="8.7265625" defaultRowHeight="14.5" x14ac:dyDescent="0.25"/>
  <cols>
    <col min="1" max="1" width="8.7265625" style="5"/>
    <col min="2" max="2" width="39.7265625" style="5" bestFit="1" customWidth="1"/>
    <col min="3" max="3" width="3.453125" style="5" bestFit="1" customWidth="1"/>
    <col min="4" max="4" width="8.7265625" style="5"/>
    <col min="5" max="5" width="31.36328125" style="5" customWidth="1"/>
    <col min="6" max="6" width="20" style="5" bestFit="1" customWidth="1"/>
    <col min="7" max="7" width="4.1796875" style="5" bestFit="1" customWidth="1"/>
    <col min="8" max="16384" width="8.7265625" style="5"/>
  </cols>
  <sheetData>
    <row r="2" spans="1:8" x14ac:dyDescent="0.25">
      <c r="A2" s="5" t="s">
        <v>0</v>
      </c>
      <c r="E2" s="5" t="s">
        <v>93</v>
      </c>
    </row>
    <row r="3" spans="1:8" x14ac:dyDescent="0.25">
      <c r="B3" s="5" t="s">
        <v>12</v>
      </c>
      <c r="C3" s="5" t="s">
        <v>10</v>
      </c>
      <c r="E3" s="6"/>
      <c r="F3" s="5" t="s">
        <v>12</v>
      </c>
      <c r="G3" s="5" t="s">
        <v>10</v>
      </c>
      <c r="H3" s="5">
        <f>IF($D$3&lt;&gt;"",$D$3,$D$4*CONVERT(1,"lbm","kg"))</f>
        <v>1043.2624510000001</v>
      </c>
    </row>
    <row r="4" spans="1:8" x14ac:dyDescent="0.25">
      <c r="C4" s="5" t="s">
        <v>11</v>
      </c>
      <c r="D4" s="5">
        <v>2300</v>
      </c>
      <c r="G4" s="5" t="s">
        <v>11</v>
      </c>
      <c r="H4" s="6">
        <f>IF($D$4&lt;&gt;"",$D$4, $D$3*CONVERT(1,"kg","lbm"))</f>
        <v>2300</v>
      </c>
    </row>
    <row r="5" spans="1:8" x14ac:dyDescent="0.25">
      <c r="B5" s="5" t="s">
        <v>13</v>
      </c>
      <c r="C5" s="5" t="s">
        <v>15</v>
      </c>
      <c r="D5" s="5">
        <v>100</v>
      </c>
      <c r="F5" s="5" t="s">
        <v>13</v>
      </c>
      <c r="G5" s="5" t="s">
        <v>15</v>
      </c>
      <c r="H5" s="5">
        <f>IF($D$5&lt;&gt;"",$D$5,$D$6*CONVERT(1,"Nmi","km"))</f>
        <v>100</v>
      </c>
    </row>
    <row r="6" spans="1:8" x14ac:dyDescent="0.25">
      <c r="C6" s="5" t="s">
        <v>14</v>
      </c>
      <c r="G6" s="5" t="s">
        <v>14</v>
      </c>
      <c r="H6" s="6">
        <f>IF($D$4&lt;&gt;"",$D$4, $D$3*CONVERT(1,"km","Nmi"))</f>
        <v>2300</v>
      </c>
    </row>
    <row r="7" spans="1:8" x14ac:dyDescent="0.25">
      <c r="B7" s="5" t="s">
        <v>24</v>
      </c>
      <c r="C7" s="5" t="s">
        <v>19</v>
      </c>
      <c r="F7" s="5" t="s">
        <v>24</v>
      </c>
      <c r="G7" s="5" t="s">
        <v>19</v>
      </c>
      <c r="H7" s="7">
        <f>IF($D$7&lt;&gt;"",$D$7,$D$8*CONVERT(1,"kn","m/s"))</f>
        <v>25.722222222222225</v>
      </c>
    </row>
    <row r="8" spans="1:8" x14ac:dyDescent="0.25">
      <c r="C8" s="5" t="s">
        <v>9</v>
      </c>
      <c r="D8" s="5">
        <v>50</v>
      </c>
      <c r="E8" s="5" t="s">
        <v>96</v>
      </c>
      <c r="G8" s="5" t="s">
        <v>28</v>
      </c>
      <c r="H8" s="5">
        <f>IF($D$8&lt;&gt;"",$D$8, $D$7*CONVERT(1,"m/s","kn"))</f>
        <v>50</v>
      </c>
    </row>
    <row r="9" spans="1:8" x14ac:dyDescent="0.25">
      <c r="B9" s="5" t="s">
        <v>23</v>
      </c>
      <c r="C9" s="5" t="s">
        <v>19</v>
      </c>
      <c r="F9" s="5" t="s">
        <v>23</v>
      </c>
      <c r="G9" s="5" t="s">
        <v>19</v>
      </c>
      <c r="H9" s="7">
        <f>IF($D$9&lt;&gt;"",$D$9,$D$10*CONVERT(1,"kn","m/s"))</f>
        <v>30.866666666666667</v>
      </c>
    </row>
    <row r="10" spans="1:8" x14ac:dyDescent="0.25">
      <c r="C10" s="5" t="s">
        <v>9</v>
      </c>
      <c r="D10" s="5">
        <v>60</v>
      </c>
      <c r="G10" s="5" t="s">
        <v>28</v>
      </c>
      <c r="H10" s="5">
        <f>IF($D$10&lt;&gt;"",$D$10, $D$9*CONVERT(1,"m/s","kn"))</f>
        <v>60</v>
      </c>
    </row>
    <row r="11" spans="1:8" x14ac:dyDescent="0.25">
      <c r="B11" s="5" t="s">
        <v>87</v>
      </c>
      <c r="C11" s="5" t="s">
        <v>31</v>
      </c>
      <c r="D11" s="5">
        <v>5000</v>
      </c>
      <c r="E11" s="5" t="s">
        <v>94</v>
      </c>
      <c r="F11" s="5" t="s">
        <v>87</v>
      </c>
      <c r="G11" s="5" t="s">
        <v>31</v>
      </c>
      <c r="H11" s="5">
        <v>5000</v>
      </c>
    </row>
    <row r="12" spans="1:8" x14ac:dyDescent="0.25">
      <c r="B12" s="5" t="s">
        <v>98</v>
      </c>
      <c r="C12" s="5" t="s">
        <v>30</v>
      </c>
      <c r="F12" s="5" t="s">
        <v>32</v>
      </c>
      <c r="G12" s="5" t="s">
        <v>30</v>
      </c>
      <c r="H12" s="7">
        <f>IF($D$12&lt;&gt;"",$D$12,$D$13*CONVERT(1,"ft","m"))</f>
        <v>457.20000000000005</v>
      </c>
    </row>
    <row r="13" spans="1:8" x14ac:dyDescent="0.25">
      <c r="C13" s="5" t="s">
        <v>31</v>
      </c>
      <c r="D13" s="5">
        <v>1500</v>
      </c>
      <c r="G13" s="5" t="s">
        <v>31</v>
      </c>
      <c r="H13" s="7">
        <f>IF($D$13&lt;&gt;"",$D$13, $D$12*CONVERT(1,"m","ft"))</f>
        <v>1500</v>
      </c>
    </row>
    <row r="14" spans="1:8" x14ac:dyDescent="0.25">
      <c r="B14" s="5" t="s">
        <v>33</v>
      </c>
      <c r="C14" s="5" t="s">
        <v>30</v>
      </c>
      <c r="F14" s="5" t="s">
        <v>33</v>
      </c>
      <c r="G14" s="5" t="s">
        <v>30</v>
      </c>
      <c r="H14" s="7">
        <f>IF($D$14&lt;&gt;"",$D$14,$D$15*CONVERT(1,"ft","m"))</f>
        <v>304.8</v>
      </c>
    </row>
    <row r="15" spans="1:8" ht="43.5" x14ac:dyDescent="0.25">
      <c r="C15" s="5" t="s">
        <v>31</v>
      </c>
      <c r="D15" s="5">
        <v>1000</v>
      </c>
      <c r="E15" s="8" t="s">
        <v>97</v>
      </c>
      <c r="G15" s="5" t="s">
        <v>31</v>
      </c>
      <c r="H15" s="7">
        <f>IF($D$15&lt;&gt;"",$D$15, $D$14*CONVERT(1,"m","ft"))</f>
        <v>1000</v>
      </c>
    </row>
    <row r="16" spans="1:8" x14ac:dyDescent="0.25">
      <c r="B16" s="5" t="s">
        <v>34</v>
      </c>
      <c r="C16" s="5" t="s">
        <v>36</v>
      </c>
      <c r="F16" s="5" t="s">
        <v>34</v>
      </c>
    </row>
    <row r="17" spans="2:9" x14ac:dyDescent="0.25">
      <c r="C17" s="5" t="s">
        <v>37</v>
      </c>
      <c r="D17" s="5">
        <v>6500</v>
      </c>
    </row>
    <row r="18" spans="2:9" x14ac:dyDescent="0.25">
      <c r="B18" s="5" t="s">
        <v>35</v>
      </c>
      <c r="C18" s="5" t="s">
        <v>36</v>
      </c>
      <c r="F18" s="5" t="s">
        <v>35</v>
      </c>
    </row>
    <row r="19" spans="2:9" x14ac:dyDescent="0.25">
      <c r="C19" s="5" t="s">
        <v>37</v>
      </c>
      <c r="D19" s="5">
        <v>5900</v>
      </c>
    </row>
    <row r="20" spans="2:9" x14ac:dyDescent="0.25">
      <c r="B20" s="5" t="s">
        <v>38</v>
      </c>
      <c r="C20" s="5" t="s">
        <v>28</v>
      </c>
    </row>
    <row r="21" spans="2:9" ht="29" x14ac:dyDescent="0.25">
      <c r="B21" s="5" t="s">
        <v>39</v>
      </c>
      <c r="C21" s="5" t="s">
        <v>28</v>
      </c>
      <c r="E21" s="8" t="s">
        <v>95</v>
      </c>
    </row>
    <row r="22" spans="2:9" x14ac:dyDescent="0.25">
      <c r="B22" s="5" t="s">
        <v>40</v>
      </c>
      <c r="C22" s="5" t="s">
        <v>28</v>
      </c>
    </row>
    <row r="23" spans="2:9" x14ac:dyDescent="0.25">
      <c r="B23" s="5" t="s">
        <v>41</v>
      </c>
      <c r="C23" s="5" t="s">
        <v>28</v>
      </c>
    </row>
    <row r="24" spans="2:9" x14ac:dyDescent="0.25">
      <c r="B24" s="5" t="s">
        <v>42</v>
      </c>
      <c r="C24" s="5" t="s">
        <v>28</v>
      </c>
      <c r="D24" s="5">
        <f>1.3*D8</f>
        <v>65</v>
      </c>
    </row>
    <row r="25" spans="2:9" x14ac:dyDescent="0.25">
      <c r="B25" s="5" t="s">
        <v>43</v>
      </c>
      <c r="C25" s="5" t="s">
        <v>44</v>
      </c>
      <c r="D25" s="5">
        <v>14</v>
      </c>
    </row>
    <row r="26" spans="2:9" x14ac:dyDescent="0.25">
      <c r="B26" s="5" t="s">
        <v>45</v>
      </c>
    </row>
    <row r="27" spans="2:9" x14ac:dyDescent="0.25">
      <c r="B27" s="5" t="s">
        <v>46</v>
      </c>
      <c r="C27" s="5" t="s">
        <v>31</v>
      </c>
      <c r="D27" s="5">
        <v>30000</v>
      </c>
      <c r="I27" s="5" t="s">
        <v>47</v>
      </c>
    </row>
    <row r="28" spans="2:9" x14ac:dyDescent="0.25">
      <c r="B28" s="5" t="s">
        <v>48</v>
      </c>
      <c r="C28" s="5" t="s">
        <v>31</v>
      </c>
      <c r="D28" s="5">
        <v>1000</v>
      </c>
    </row>
    <row r="29" spans="2:9" x14ac:dyDescent="0.25">
      <c r="B29" s="5" t="s">
        <v>49</v>
      </c>
      <c r="C29" s="5" t="s">
        <v>31</v>
      </c>
      <c r="D29" s="5">
        <v>500</v>
      </c>
    </row>
    <row r="30" spans="2:9" x14ac:dyDescent="0.25">
      <c r="B30" s="5" t="s">
        <v>50</v>
      </c>
      <c r="C30" s="5" t="s">
        <v>28</v>
      </c>
      <c r="D30" s="5">
        <v>130</v>
      </c>
      <c r="I30" s="5" t="s">
        <v>52</v>
      </c>
    </row>
    <row r="31" spans="2:9" x14ac:dyDescent="0.25">
      <c r="B31" s="5" t="s">
        <v>51</v>
      </c>
      <c r="C31" s="5" t="s">
        <v>28</v>
      </c>
      <c r="D31" s="5">
        <v>145</v>
      </c>
    </row>
    <row r="32" spans="2:9" ht="43.5" x14ac:dyDescent="0.25">
      <c r="B32" s="5" t="s">
        <v>99</v>
      </c>
      <c r="C32" s="5" t="s">
        <v>100</v>
      </c>
      <c r="E32" s="8" t="s">
        <v>101</v>
      </c>
    </row>
    <row r="33" spans="2:9" x14ac:dyDescent="0.25">
      <c r="B33" s="5" t="s">
        <v>102</v>
      </c>
      <c r="C33" s="5" t="s">
        <v>100</v>
      </c>
    </row>
    <row r="34" spans="2:9" x14ac:dyDescent="0.25">
      <c r="B34" s="5" t="s">
        <v>3</v>
      </c>
    </row>
    <row r="35" spans="2:9" x14ac:dyDescent="0.25">
      <c r="B35" s="5" t="s">
        <v>4</v>
      </c>
    </row>
    <row r="36" spans="2:9" x14ac:dyDescent="0.25">
      <c r="B36" s="5" t="s">
        <v>5</v>
      </c>
    </row>
    <row r="37" spans="2:9" x14ac:dyDescent="0.25">
      <c r="B37" s="5" t="s">
        <v>6</v>
      </c>
    </row>
    <row r="38" spans="2:9" x14ac:dyDescent="0.25">
      <c r="B38" s="5" t="s">
        <v>2</v>
      </c>
    </row>
    <row r="39" spans="2:9" x14ac:dyDescent="0.25">
      <c r="B39" s="5" t="s">
        <v>1</v>
      </c>
    </row>
    <row r="41" spans="2:9" x14ac:dyDescent="0.25">
      <c r="B41" s="5" t="s">
        <v>53</v>
      </c>
      <c r="C41" s="5" t="s">
        <v>37</v>
      </c>
      <c r="D41" s="5">
        <v>300</v>
      </c>
    </row>
    <row r="42" spans="2:9" x14ac:dyDescent="0.25">
      <c r="B42" s="5" t="s">
        <v>54</v>
      </c>
      <c r="C42" s="5" t="s">
        <v>37</v>
      </c>
      <c r="D42" s="5">
        <v>465</v>
      </c>
    </row>
    <row r="43" spans="2:9" x14ac:dyDescent="0.25">
      <c r="B43" s="5" t="s">
        <v>55</v>
      </c>
      <c r="C43" s="5" t="s">
        <v>37</v>
      </c>
      <c r="D43" s="5">
        <v>3550</v>
      </c>
    </row>
    <row r="44" spans="2:9" x14ac:dyDescent="0.25">
      <c r="B44" s="5" t="s">
        <v>56</v>
      </c>
      <c r="C44" s="5" t="s">
        <v>58</v>
      </c>
      <c r="D44" s="5">
        <v>504</v>
      </c>
      <c r="I44" s="5" t="s">
        <v>57</v>
      </c>
    </row>
    <row r="45" spans="2:9" x14ac:dyDescent="0.25">
      <c r="B45" s="5" t="s">
        <v>59</v>
      </c>
      <c r="C45" s="5" t="s">
        <v>28</v>
      </c>
      <c r="D45" s="5">
        <v>145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1B39F-AE70-43A3-B4F2-47E21227456F}">
  <dimension ref="A2:O43"/>
  <sheetViews>
    <sheetView tabSelected="1" topLeftCell="A2" zoomScale="116" workbookViewId="0">
      <selection activeCell="G2" sqref="G2"/>
    </sheetView>
  </sheetViews>
  <sheetFormatPr defaultRowHeight="14.5" x14ac:dyDescent="0.25"/>
  <cols>
    <col min="1" max="1" width="19.08984375" style="5" bestFit="1" customWidth="1"/>
    <col min="2" max="2" width="30.453125" style="10" bestFit="1" customWidth="1"/>
    <col min="3" max="3" width="12.453125" style="9" bestFit="1" customWidth="1"/>
    <col min="4" max="4" width="8.7265625" style="9"/>
    <col min="5" max="6" width="8.7265625" style="9" customWidth="1"/>
    <col min="7" max="8" width="8.7265625" style="9"/>
    <col min="9" max="12" width="8.7265625" style="5"/>
    <col min="13" max="13" width="19.08984375" style="5" bestFit="1" customWidth="1"/>
    <col min="14" max="14" width="10.36328125" style="5" bestFit="1" customWidth="1"/>
    <col min="15" max="15" width="9.26953125" style="5" bestFit="1" customWidth="1"/>
    <col min="16" max="16384" width="8.7265625" style="5"/>
  </cols>
  <sheetData>
    <row r="2" spans="1:15" ht="72.5" x14ac:dyDescent="0.25">
      <c r="A2" s="11"/>
      <c r="E2" s="35" t="s">
        <v>191</v>
      </c>
      <c r="F2" s="35" t="s">
        <v>192</v>
      </c>
      <c r="G2" s="35" t="s">
        <v>193</v>
      </c>
      <c r="H2" s="35" t="s">
        <v>194</v>
      </c>
      <c r="I2" s="11"/>
      <c r="M2" s="16" t="s">
        <v>160</v>
      </c>
    </row>
    <row r="3" spans="1:15" ht="29" x14ac:dyDescent="0.25">
      <c r="A3" s="11"/>
      <c r="B3" s="12" t="s">
        <v>178</v>
      </c>
      <c r="C3" s="13" t="s">
        <v>120</v>
      </c>
      <c r="D3" s="13" t="s">
        <v>110</v>
      </c>
      <c r="E3" s="13">
        <v>9.8066499999999994</v>
      </c>
      <c r="F3" s="13">
        <v>9.8066499999999994</v>
      </c>
      <c r="G3" s="13">
        <v>9.8066499999999994</v>
      </c>
      <c r="H3" s="13">
        <v>9.8066499999999994</v>
      </c>
      <c r="I3" s="11"/>
      <c r="M3" s="11"/>
      <c r="N3" s="15" t="s">
        <v>159</v>
      </c>
      <c r="O3" s="13" t="s">
        <v>154</v>
      </c>
    </row>
    <row r="4" spans="1:15" x14ac:dyDescent="0.25">
      <c r="A4" s="11"/>
      <c r="B4" s="12" t="s">
        <v>179</v>
      </c>
      <c r="C4" s="13" t="s">
        <v>105</v>
      </c>
      <c r="D4" s="13"/>
      <c r="E4" s="13">
        <v>0.04</v>
      </c>
      <c r="F4" s="13">
        <v>0.04</v>
      </c>
      <c r="G4" s="13">
        <v>0.04</v>
      </c>
      <c r="H4" s="13">
        <v>0.04</v>
      </c>
      <c r="I4" s="11" t="s">
        <v>142</v>
      </c>
      <c r="M4" s="11" t="s">
        <v>147</v>
      </c>
      <c r="N4" s="13" t="s">
        <v>155</v>
      </c>
      <c r="O4" s="13" t="s">
        <v>156</v>
      </c>
    </row>
    <row r="5" spans="1:15" x14ac:dyDescent="0.25">
      <c r="A5" s="17" t="s">
        <v>122</v>
      </c>
      <c r="B5" s="12"/>
      <c r="C5" s="13"/>
      <c r="D5" s="13"/>
      <c r="E5" s="13"/>
      <c r="F5" s="13"/>
      <c r="G5" s="13"/>
      <c r="H5" s="13"/>
      <c r="I5" s="11"/>
      <c r="M5" s="11" t="s">
        <v>148</v>
      </c>
      <c r="N5" s="13">
        <v>0.05</v>
      </c>
      <c r="O5" s="13" t="s">
        <v>157</v>
      </c>
    </row>
    <row r="6" spans="1:15" x14ac:dyDescent="0.25">
      <c r="A6" s="18"/>
      <c r="B6" s="22" t="s">
        <v>124</v>
      </c>
      <c r="C6" s="13" t="s">
        <v>126</v>
      </c>
      <c r="D6" s="13" t="s">
        <v>100</v>
      </c>
      <c r="E6" s="13">
        <v>4000</v>
      </c>
      <c r="F6" s="13">
        <v>4000</v>
      </c>
      <c r="G6" s="13">
        <v>4000</v>
      </c>
      <c r="H6" s="13">
        <v>4000</v>
      </c>
      <c r="I6" s="11"/>
      <c r="M6" s="11" t="s">
        <v>149</v>
      </c>
      <c r="N6" s="13">
        <v>0.02</v>
      </c>
      <c r="O6" s="13" t="s">
        <v>158</v>
      </c>
    </row>
    <row r="7" spans="1:15" x14ac:dyDescent="0.25">
      <c r="A7" s="18"/>
      <c r="B7" s="22" t="s">
        <v>123</v>
      </c>
      <c r="C7" s="13" t="s">
        <v>127</v>
      </c>
      <c r="D7" s="13" t="s">
        <v>121</v>
      </c>
      <c r="E7" s="13">
        <v>15</v>
      </c>
      <c r="F7" s="13">
        <v>15</v>
      </c>
      <c r="G7" s="13">
        <v>15</v>
      </c>
      <c r="H7" s="13">
        <v>15</v>
      </c>
      <c r="I7" s="11"/>
      <c r="M7" s="11" t="s">
        <v>150</v>
      </c>
      <c r="N7" s="13">
        <v>0.05</v>
      </c>
      <c r="O7" s="13">
        <v>0.4</v>
      </c>
    </row>
    <row r="8" spans="1:15" x14ac:dyDescent="0.25">
      <c r="A8" s="18"/>
      <c r="B8" s="22" t="s">
        <v>146</v>
      </c>
      <c r="C8" s="13" t="s">
        <v>138</v>
      </c>
      <c r="D8" s="13" t="s">
        <v>107</v>
      </c>
      <c r="E8" s="13">
        <v>52.2</v>
      </c>
      <c r="F8" s="13">
        <v>52.2</v>
      </c>
      <c r="G8" s="13">
        <v>52.2</v>
      </c>
      <c r="H8" s="13">
        <v>52.2</v>
      </c>
      <c r="I8" s="11"/>
      <c r="M8" s="11" t="s">
        <v>151</v>
      </c>
      <c r="N8" s="13">
        <v>0.04</v>
      </c>
      <c r="O8" s="13">
        <v>0.3</v>
      </c>
    </row>
    <row r="9" spans="1:15" x14ac:dyDescent="0.25">
      <c r="A9" s="18"/>
      <c r="B9" s="22" t="s">
        <v>163</v>
      </c>
      <c r="C9" s="13"/>
      <c r="D9" s="13"/>
      <c r="E9" s="13">
        <v>1.1000000000000001</v>
      </c>
      <c r="F9" s="13">
        <v>1.1000000000000001</v>
      </c>
      <c r="G9" s="13">
        <v>1.1000000000000001</v>
      </c>
      <c r="H9" s="13">
        <v>1.1000000000000001</v>
      </c>
      <c r="I9" s="11"/>
      <c r="M9" s="11"/>
      <c r="N9" s="13"/>
      <c r="O9" s="13"/>
    </row>
    <row r="10" spans="1:15" x14ac:dyDescent="0.25">
      <c r="A10" s="18"/>
      <c r="B10" s="23" t="s">
        <v>125</v>
      </c>
      <c r="C10" s="13" t="s">
        <v>139</v>
      </c>
      <c r="D10" s="13" t="s">
        <v>107</v>
      </c>
      <c r="E10" s="13">
        <f>E8*E9</f>
        <v>57.420000000000009</v>
      </c>
      <c r="F10" s="13">
        <f>F8*F9</f>
        <v>57.420000000000009</v>
      </c>
      <c r="G10" s="13">
        <f>G8*G9</f>
        <v>57.420000000000009</v>
      </c>
      <c r="H10" s="13">
        <f>H8*H9</f>
        <v>57.420000000000009</v>
      </c>
      <c r="I10" s="11"/>
      <c r="M10" s="11" t="s">
        <v>152</v>
      </c>
      <c r="N10" s="13">
        <v>7.0000000000000007E-2</v>
      </c>
      <c r="O10" s="13">
        <v>0.2</v>
      </c>
    </row>
    <row r="11" spans="1:15" x14ac:dyDescent="0.25">
      <c r="A11" s="18"/>
      <c r="B11" s="23"/>
      <c r="C11" s="13" t="s">
        <v>118</v>
      </c>
      <c r="D11" s="13" t="s">
        <v>19</v>
      </c>
      <c r="E11" s="30">
        <f>E10*CONVERT(1,"kn","m/sec")</f>
        <v>29.539400000000008</v>
      </c>
      <c r="F11" s="30">
        <f>F10*CONVERT(1,"kn","m/sec")</f>
        <v>29.539400000000008</v>
      </c>
      <c r="G11" s="30">
        <f>G10*CONVERT(1,"kn","m/sec")</f>
        <v>29.539400000000008</v>
      </c>
      <c r="H11" s="30">
        <f>H10*CONVERT(1,"kn","m/sec")</f>
        <v>29.539400000000008</v>
      </c>
      <c r="I11" s="11"/>
      <c r="M11" s="11" t="s">
        <v>153</v>
      </c>
      <c r="N11" s="13">
        <v>0.08</v>
      </c>
      <c r="O11" s="13">
        <v>0.2</v>
      </c>
    </row>
    <row r="12" spans="1:15" x14ac:dyDescent="0.25">
      <c r="A12" s="18"/>
      <c r="B12" s="22" t="s">
        <v>162</v>
      </c>
      <c r="C12" s="13"/>
      <c r="D12" s="13"/>
      <c r="E12" s="13" t="s">
        <v>103</v>
      </c>
      <c r="F12" s="13" t="s">
        <v>103</v>
      </c>
      <c r="G12" s="13" t="s">
        <v>190</v>
      </c>
      <c r="H12" s="13" t="s">
        <v>190</v>
      </c>
      <c r="I12" s="11"/>
      <c r="M12" s="20"/>
      <c r="N12" s="21"/>
      <c r="O12" s="21"/>
    </row>
    <row r="13" spans="1:15" x14ac:dyDescent="0.25">
      <c r="A13" s="19"/>
      <c r="B13" s="12" t="s">
        <v>180</v>
      </c>
      <c r="C13" s="13" t="s">
        <v>119</v>
      </c>
      <c r="D13" s="13" t="s">
        <v>112</v>
      </c>
      <c r="E13" s="13">
        <v>1.08</v>
      </c>
      <c r="F13" s="13">
        <v>1.08</v>
      </c>
      <c r="G13" s="13">
        <v>1.08</v>
      </c>
      <c r="H13" s="13">
        <v>1.08</v>
      </c>
      <c r="I13" s="11"/>
    </row>
    <row r="14" spans="1:15" x14ac:dyDescent="0.25">
      <c r="A14" s="17" t="s">
        <v>128</v>
      </c>
      <c r="B14" s="36" t="s">
        <v>133</v>
      </c>
      <c r="C14" s="13" t="s">
        <v>135</v>
      </c>
      <c r="D14" s="13" t="s">
        <v>106</v>
      </c>
      <c r="E14" s="13">
        <v>7000</v>
      </c>
      <c r="F14" s="13">
        <v>7000</v>
      </c>
      <c r="G14" s="13">
        <v>7000</v>
      </c>
      <c r="H14" s="13">
        <v>7000</v>
      </c>
      <c r="I14" s="11"/>
    </row>
    <row r="15" spans="1:15" x14ac:dyDescent="0.25">
      <c r="A15" s="18"/>
      <c r="B15" s="37"/>
      <c r="C15" s="13" t="s">
        <v>134</v>
      </c>
      <c r="D15" s="13" t="s">
        <v>10</v>
      </c>
      <c r="E15" s="31">
        <f>E14*CONVERT(1,"lbm","kg")</f>
        <v>3175.1465900000003</v>
      </c>
      <c r="F15" s="31">
        <f>F14*CONVERT(1,"lbm","kg")</f>
        <v>3175.1465900000003</v>
      </c>
      <c r="G15" s="31">
        <f>G14*CONVERT(1,"lbm","kg")</f>
        <v>3175.1465900000003</v>
      </c>
      <c r="H15" s="31">
        <f>H14*CONVERT(1,"lbm","kg")</f>
        <v>3175.1465900000003</v>
      </c>
      <c r="I15" s="11"/>
    </row>
    <row r="16" spans="1:15" x14ac:dyDescent="0.25">
      <c r="A16" s="19"/>
      <c r="B16" s="38"/>
      <c r="C16" s="13" t="s">
        <v>161</v>
      </c>
      <c r="D16" s="13" t="s">
        <v>111</v>
      </c>
      <c r="E16" s="31">
        <f>E15*E3</f>
        <v>31137.551306823501</v>
      </c>
      <c r="F16" s="31">
        <f>F15*F3</f>
        <v>31137.551306823501</v>
      </c>
      <c r="G16" s="31">
        <f>G15*G3</f>
        <v>31137.551306823501</v>
      </c>
      <c r="H16" s="31">
        <f>H15*H3</f>
        <v>31137.551306823501</v>
      </c>
      <c r="I16" s="11"/>
    </row>
    <row r="17" spans="1:9" x14ac:dyDescent="0.25">
      <c r="A17" s="17" t="s">
        <v>129</v>
      </c>
      <c r="B17" s="23" t="s">
        <v>113</v>
      </c>
      <c r="C17" s="13" t="s">
        <v>116</v>
      </c>
      <c r="D17" s="13" t="s">
        <v>117</v>
      </c>
      <c r="E17" s="13">
        <v>276.5</v>
      </c>
      <c r="F17" s="13">
        <v>276.5</v>
      </c>
      <c r="G17" s="13">
        <v>276.5</v>
      </c>
      <c r="H17" s="13">
        <v>276.5</v>
      </c>
      <c r="I17" s="11"/>
    </row>
    <row r="18" spans="1:9" x14ac:dyDescent="0.25">
      <c r="A18" s="18"/>
      <c r="B18" s="23"/>
      <c r="C18" s="13" t="s">
        <v>115</v>
      </c>
      <c r="D18" s="13" t="s">
        <v>114</v>
      </c>
      <c r="E18" s="30">
        <f>E17*CONVERT(1,"ft","m")^2</f>
        <v>25.68769056</v>
      </c>
      <c r="F18" s="30">
        <f>F17*CONVERT(1,"ft","m")^2</f>
        <v>25.68769056</v>
      </c>
      <c r="G18" s="30">
        <f>G17*CONVERT(1,"ft","m")^2</f>
        <v>25.68769056</v>
      </c>
      <c r="H18" s="30">
        <f>H17*CONVERT(1,"ft","m")^2</f>
        <v>25.68769056</v>
      </c>
      <c r="I18" s="11"/>
    </row>
    <row r="19" spans="1:9" x14ac:dyDescent="0.25">
      <c r="A19" s="18"/>
      <c r="B19" s="24" t="s">
        <v>172</v>
      </c>
      <c r="C19" s="13" t="s">
        <v>173</v>
      </c>
      <c r="D19" s="13" t="s">
        <v>100</v>
      </c>
      <c r="E19" s="30">
        <v>55.3</v>
      </c>
      <c r="F19" s="30">
        <v>55.3</v>
      </c>
      <c r="G19" s="30">
        <v>55.3</v>
      </c>
      <c r="H19" s="30">
        <v>55.3</v>
      </c>
      <c r="I19" s="11"/>
    </row>
    <row r="20" spans="1:9" x14ac:dyDescent="0.25">
      <c r="A20" s="18"/>
      <c r="B20" s="25"/>
      <c r="C20" s="13" t="s">
        <v>174</v>
      </c>
      <c r="D20" s="13" t="s">
        <v>108</v>
      </c>
      <c r="E20" s="30">
        <f>E19*CONVERT(1,"ft","m")</f>
        <v>16.855440000000002</v>
      </c>
      <c r="F20" s="30">
        <f>F19*CONVERT(1,"ft","m")</f>
        <v>16.855440000000002</v>
      </c>
      <c r="G20" s="30">
        <f>G19*CONVERT(1,"ft","m")</f>
        <v>16.855440000000002</v>
      </c>
      <c r="H20" s="30">
        <f>H19*CONVERT(1,"ft","m")</f>
        <v>16.855440000000002</v>
      </c>
      <c r="I20" s="11"/>
    </row>
    <row r="21" spans="1:9" x14ac:dyDescent="0.25">
      <c r="A21" s="18"/>
      <c r="B21" s="24" t="s">
        <v>181</v>
      </c>
      <c r="C21" s="13" t="s">
        <v>168</v>
      </c>
      <c r="D21" s="13" t="s">
        <v>100</v>
      </c>
      <c r="E21" s="13">
        <v>5</v>
      </c>
      <c r="F21" s="13">
        <v>5</v>
      </c>
      <c r="G21" s="13">
        <v>5</v>
      </c>
      <c r="H21" s="13">
        <v>5</v>
      </c>
      <c r="I21" s="11"/>
    </row>
    <row r="22" spans="1:9" x14ac:dyDescent="0.25">
      <c r="A22" s="18"/>
      <c r="B22" s="25"/>
      <c r="C22" s="13" t="s">
        <v>169</v>
      </c>
      <c r="D22" s="13" t="s">
        <v>108</v>
      </c>
      <c r="E22" s="13">
        <f>E21*CONVERT(1,"ft","m")</f>
        <v>1.524</v>
      </c>
      <c r="F22" s="13">
        <f>F21*CONVERT(1,"ft","m")</f>
        <v>1.524</v>
      </c>
      <c r="G22" s="13">
        <f>G21*CONVERT(1,"ft","m")</f>
        <v>1.524</v>
      </c>
      <c r="H22" s="13">
        <f>H21*CONVERT(1,"ft","m")</f>
        <v>1.524</v>
      </c>
      <c r="I22" s="11"/>
    </row>
    <row r="23" spans="1:9" x14ac:dyDescent="0.25">
      <c r="A23" s="18"/>
      <c r="B23" s="26" t="s">
        <v>170</v>
      </c>
      <c r="C23" s="13" t="s">
        <v>171</v>
      </c>
      <c r="D23" s="13" t="s">
        <v>18</v>
      </c>
      <c r="E23" s="13">
        <f>E20^2/E18</f>
        <v>11.06</v>
      </c>
      <c r="F23" s="13">
        <f>F20^2/F18</f>
        <v>11.06</v>
      </c>
      <c r="G23" s="13">
        <f>G20^2/G18</f>
        <v>11.06</v>
      </c>
      <c r="H23" s="13">
        <f>H20^2/H18</f>
        <v>11.06</v>
      </c>
      <c r="I23" s="11"/>
    </row>
    <row r="24" spans="1:9" x14ac:dyDescent="0.25">
      <c r="A24" s="18"/>
      <c r="B24" s="12" t="s">
        <v>130</v>
      </c>
      <c r="C24" s="13" t="s">
        <v>136</v>
      </c>
      <c r="D24" s="13" t="s">
        <v>131</v>
      </c>
      <c r="E24" s="13">
        <v>10</v>
      </c>
      <c r="F24" s="13">
        <v>10</v>
      </c>
      <c r="G24" s="13">
        <v>10</v>
      </c>
      <c r="H24" s="13">
        <v>10</v>
      </c>
      <c r="I24" s="11"/>
    </row>
    <row r="25" spans="1:9" x14ac:dyDescent="0.25">
      <c r="A25" s="18"/>
      <c r="B25" s="12" t="s">
        <v>132</v>
      </c>
      <c r="C25" s="13" t="s">
        <v>137</v>
      </c>
      <c r="D25" s="13" t="s">
        <v>131</v>
      </c>
      <c r="E25" s="13">
        <v>30</v>
      </c>
      <c r="F25" s="13">
        <v>30</v>
      </c>
      <c r="G25" s="13">
        <v>30</v>
      </c>
      <c r="H25" s="13">
        <v>30</v>
      </c>
      <c r="I25" s="11"/>
    </row>
    <row r="26" spans="1:9" x14ac:dyDescent="0.25">
      <c r="A26" s="18"/>
      <c r="B26" s="22" t="s">
        <v>165</v>
      </c>
      <c r="C26" s="13" t="s">
        <v>175</v>
      </c>
      <c r="D26" s="13" t="s">
        <v>18</v>
      </c>
      <c r="E26" s="32">
        <v>2.8</v>
      </c>
      <c r="F26" s="13">
        <v>2.66</v>
      </c>
      <c r="G26" s="32">
        <v>2.8</v>
      </c>
      <c r="H26" s="13">
        <v>2.66</v>
      </c>
      <c r="I26" s="11" t="s">
        <v>186</v>
      </c>
    </row>
    <row r="27" spans="1:9" x14ac:dyDescent="0.25">
      <c r="A27" s="18"/>
      <c r="B27" s="22" t="s">
        <v>187</v>
      </c>
      <c r="C27" s="13"/>
      <c r="D27" s="13"/>
      <c r="E27" s="32">
        <f>E26/E9^2</f>
        <v>2.3140495867768589</v>
      </c>
      <c r="F27" s="32">
        <f>F26/F9^2</f>
        <v>2.1983471074380163</v>
      </c>
      <c r="G27" s="32">
        <f>G26/G9^2</f>
        <v>2.3140495867768589</v>
      </c>
      <c r="H27" s="32">
        <f>H26/H9^2</f>
        <v>2.1983471074380163</v>
      </c>
      <c r="I27" s="11" t="s">
        <v>188</v>
      </c>
    </row>
    <row r="28" spans="1:9" x14ac:dyDescent="0.25">
      <c r="A28" s="18"/>
      <c r="B28" s="12" t="s">
        <v>164</v>
      </c>
      <c r="C28" s="13" t="s">
        <v>176</v>
      </c>
      <c r="D28" s="13" t="s">
        <v>18</v>
      </c>
      <c r="E28" s="13">
        <v>0.05</v>
      </c>
      <c r="F28" s="13">
        <v>0.05</v>
      </c>
      <c r="G28" s="13">
        <v>0.05</v>
      </c>
      <c r="H28" s="13">
        <v>0.05</v>
      </c>
      <c r="I28" s="11"/>
    </row>
    <row r="29" spans="1:9" x14ac:dyDescent="0.25">
      <c r="A29" s="18"/>
      <c r="B29" s="27" t="s">
        <v>166</v>
      </c>
      <c r="C29" s="13" t="s">
        <v>202</v>
      </c>
      <c r="D29" s="13" t="s">
        <v>143</v>
      </c>
      <c r="E29" s="13">
        <v>1600</v>
      </c>
      <c r="F29" s="13">
        <v>1600</v>
      </c>
      <c r="G29" s="13">
        <v>1600</v>
      </c>
      <c r="H29" s="13">
        <v>1600</v>
      </c>
      <c r="I29" s="11"/>
    </row>
    <row r="30" spans="1:9" x14ac:dyDescent="0.25">
      <c r="A30" s="18"/>
      <c r="B30" s="28"/>
      <c r="C30" s="13" t="s">
        <v>203</v>
      </c>
      <c r="D30" s="13" t="s">
        <v>111</v>
      </c>
      <c r="E30" s="31">
        <f>E29*CONVERT(1,"lbf","N")</f>
        <v>7117.1545844168013</v>
      </c>
      <c r="F30" s="31">
        <f>F29*CONVERT(1,"lbf","N")</f>
        <v>7117.1545844168013</v>
      </c>
      <c r="G30" s="31">
        <f>G29*CONVERT(1,"lbf","N")</f>
        <v>7117.1545844168013</v>
      </c>
      <c r="H30" s="31">
        <f>H29*CONVERT(1,"lbf","N")</f>
        <v>7117.1545844168013</v>
      </c>
      <c r="I30" s="11"/>
    </row>
    <row r="31" spans="1:9" x14ac:dyDescent="0.25">
      <c r="A31" s="19"/>
      <c r="B31" s="12" t="s">
        <v>182</v>
      </c>
      <c r="C31" s="13" t="s">
        <v>104</v>
      </c>
      <c r="D31" s="13" t="s">
        <v>18</v>
      </c>
      <c r="E31" s="33">
        <f>1/(PI()*0.85*E23)</f>
        <v>3.3859151811912631E-2</v>
      </c>
      <c r="F31" s="33">
        <f t="shared" ref="F31:H31" si="0">1/(PI()*0.85*F23)</f>
        <v>3.3859151811912631E-2</v>
      </c>
      <c r="G31" s="33">
        <f t="shared" si="0"/>
        <v>3.3859151811912631E-2</v>
      </c>
      <c r="H31" s="33">
        <f t="shared" si="0"/>
        <v>3.3859151811912631E-2</v>
      </c>
      <c r="I31" s="11" t="s">
        <v>167</v>
      </c>
    </row>
    <row r="32" spans="1:9" x14ac:dyDescent="0.25">
      <c r="A32" s="14"/>
      <c r="B32" s="12" t="s">
        <v>199</v>
      </c>
      <c r="C32" s="13" t="s">
        <v>204</v>
      </c>
      <c r="D32" s="13" t="s">
        <v>111</v>
      </c>
      <c r="E32" s="31">
        <f>0.5*E13*E11^2*(E28+E31*E27^2)</f>
        <v>108.99114743499103</v>
      </c>
      <c r="F32" s="31">
        <f t="shared" ref="F32:H32" si="1">0.5*F13*F11^2*(F28+F31*F27^2)</f>
        <v>100.66156728116714</v>
      </c>
      <c r="G32" s="31">
        <f t="shared" si="1"/>
        <v>108.99114743499103</v>
      </c>
      <c r="H32" s="31">
        <f t="shared" si="1"/>
        <v>100.66156728116714</v>
      </c>
      <c r="I32" s="11"/>
    </row>
    <row r="33" spans="1:9" x14ac:dyDescent="0.25">
      <c r="A33" s="14"/>
      <c r="B33" s="12" t="s">
        <v>200</v>
      </c>
      <c r="C33" s="13" t="s">
        <v>201</v>
      </c>
      <c r="D33" s="13" t="s">
        <v>111</v>
      </c>
      <c r="E33" s="31"/>
      <c r="F33" s="31"/>
      <c r="G33" s="31">
        <v>2500</v>
      </c>
      <c r="H33" s="31">
        <v>2500</v>
      </c>
      <c r="I33" s="11"/>
    </row>
    <row r="34" spans="1:9" x14ac:dyDescent="0.25">
      <c r="A34" s="11"/>
      <c r="B34" s="12" t="s">
        <v>140</v>
      </c>
      <c r="C34" s="13" t="s">
        <v>144</v>
      </c>
      <c r="D34" s="13"/>
      <c r="E34" s="33">
        <f>E30/E16-E4</f>
        <v>0.18857142857142858</v>
      </c>
      <c r="F34" s="33">
        <f>F30/F16-F4</f>
        <v>0.18857142857142858</v>
      </c>
      <c r="G34" s="33">
        <f>G30/G16-G4</f>
        <v>0.18857142857142858</v>
      </c>
      <c r="H34" s="33">
        <f>H30/H16-H4</f>
        <v>0.18857142857142858</v>
      </c>
      <c r="I34" s="11" t="s">
        <v>145</v>
      </c>
    </row>
    <row r="35" spans="1:9" x14ac:dyDescent="0.25">
      <c r="A35" s="11"/>
      <c r="B35" s="12" t="s">
        <v>141</v>
      </c>
      <c r="C35" s="13" t="s">
        <v>109</v>
      </c>
      <c r="D35" s="13"/>
      <c r="E35" s="34">
        <f>E13/(2*E16/E18)*(-E28-E31*E27^2+E4*E27)</f>
        <v>-6.1810275025708309E-5</v>
      </c>
      <c r="F35" s="34">
        <f t="shared" ref="F35:H35" si="2">F13/(2*F16/F18)*(-F28-F31*F27^2+F4*F27)</f>
        <v>-5.5996851891017273E-5</v>
      </c>
      <c r="G35" s="34">
        <f t="shared" si="2"/>
        <v>-6.1810275025708309E-5</v>
      </c>
      <c r="H35" s="34">
        <f t="shared" si="2"/>
        <v>-5.5996851891017273E-5</v>
      </c>
      <c r="I35" s="11" t="s">
        <v>189</v>
      </c>
    </row>
    <row r="36" spans="1:9" x14ac:dyDescent="0.25">
      <c r="A36" s="11"/>
      <c r="B36" s="29" t="s">
        <v>177</v>
      </c>
      <c r="C36" s="13" t="s">
        <v>184</v>
      </c>
      <c r="D36" s="13" t="s">
        <v>19</v>
      </c>
      <c r="E36" s="34">
        <f>IF(E12="Takeoff",0,E11)</f>
        <v>0</v>
      </c>
      <c r="F36" s="34">
        <f>IF(F12="Takeoff",0,F11)</f>
        <v>0</v>
      </c>
      <c r="G36" s="34">
        <f>IF(G12="Takeoff",0,G11)</f>
        <v>29.539400000000008</v>
      </c>
      <c r="H36" s="34">
        <f>IF(H12="Takeoff",0,H11)</f>
        <v>29.539400000000008</v>
      </c>
      <c r="I36" s="11"/>
    </row>
    <row r="37" spans="1:9" x14ac:dyDescent="0.25">
      <c r="A37" s="11"/>
      <c r="B37" s="29" t="s">
        <v>183</v>
      </c>
      <c r="C37" s="13" t="s">
        <v>185</v>
      </c>
      <c r="D37" s="13" t="s">
        <v>19</v>
      </c>
      <c r="E37" s="34">
        <f>IF(E12="Takeoff",E11,0)</f>
        <v>29.539400000000008</v>
      </c>
      <c r="F37" s="34">
        <f>IF(F12="Takeoff",F11,0)</f>
        <v>29.539400000000008</v>
      </c>
      <c r="G37" s="34">
        <f>IF(G12="Takeoff",G11,0)</f>
        <v>0</v>
      </c>
      <c r="H37" s="34">
        <f>IF(H12="Takeoff",H11,0)</f>
        <v>0</v>
      </c>
      <c r="I37" s="11"/>
    </row>
    <row r="38" spans="1:9" x14ac:dyDescent="0.25">
      <c r="A38" s="11"/>
      <c r="B38" s="29" t="s">
        <v>198</v>
      </c>
      <c r="C38" s="13" t="s">
        <v>205</v>
      </c>
      <c r="D38" s="13" t="s">
        <v>111</v>
      </c>
      <c r="E38" s="34">
        <f>IF(E12="Takeoff",E30-E4*E16,IF(E12="Landing",E33+E4*E16,0))</f>
        <v>5871.6525321438612</v>
      </c>
      <c r="F38" s="34">
        <f t="shared" ref="F38:H38" si="3">IF(F12="Takeoff",F30-F4*F16,IF(F12="Landing",F33+F4*F16,0))</f>
        <v>5871.6525321438612</v>
      </c>
      <c r="G38" s="34">
        <f t="shared" si="3"/>
        <v>3745.5020522729401</v>
      </c>
      <c r="H38" s="34">
        <f t="shared" si="3"/>
        <v>3745.5020522729401</v>
      </c>
      <c r="I38" s="11" t="s">
        <v>208</v>
      </c>
    </row>
    <row r="39" spans="1:9" x14ac:dyDescent="0.25">
      <c r="A39" s="11"/>
      <c r="B39" s="29" t="s">
        <v>197</v>
      </c>
      <c r="C39" s="13" t="s">
        <v>206</v>
      </c>
      <c r="D39" s="13" t="s">
        <v>111</v>
      </c>
      <c r="E39" s="34">
        <f>IF(E12="Takeoff",E30-E32,IF(E12="Landing",E33+E32,0))</f>
        <v>7008.1634369818103</v>
      </c>
      <c r="F39" s="34">
        <f t="shared" ref="F39:H39" si="4">IF(F12="Takeoff",F30-F32,IF(F12="Landing",F33+F32,0))</f>
        <v>7016.4930171356345</v>
      </c>
      <c r="G39" s="34">
        <f t="shared" si="4"/>
        <v>2608.991147434991</v>
      </c>
      <c r="H39" s="34">
        <f t="shared" si="4"/>
        <v>2600.6615672811672</v>
      </c>
      <c r="I39" s="11" t="s">
        <v>207</v>
      </c>
    </row>
    <row r="40" spans="1:9" x14ac:dyDescent="0.25">
      <c r="A40" s="11"/>
      <c r="B40" s="27" t="s">
        <v>210</v>
      </c>
      <c r="C40" s="13" t="s">
        <v>195</v>
      </c>
      <c r="D40" s="13" t="s">
        <v>108</v>
      </c>
      <c r="E40" s="31">
        <f>1/(2*E3*E35)*LOG((E34+E35*E11^2)/(E34+E35*(0)^2))</f>
        <v>120.68812911909652</v>
      </c>
      <c r="F40" s="31">
        <f>1/(2*F3*F35)*LOG((F34+F35*F11^2)/(F34+F35*(0)^2))</f>
        <v>118.59299346454755</v>
      </c>
      <c r="G40" s="31">
        <f>1/(2*G3*G35)*LOG((G34+G35*G11^2)/(G34+G35*(0)^2))</f>
        <v>120.68812911909652</v>
      </c>
      <c r="H40" s="31">
        <f>1/(2*H3*H35)*LOG((H34+H35*H11^2)/(H34+H35*(0)^2))</f>
        <v>118.59299346454755</v>
      </c>
      <c r="I40" s="11"/>
    </row>
    <row r="41" spans="1:9" x14ac:dyDescent="0.25">
      <c r="A41" s="11"/>
      <c r="B41" s="28"/>
      <c r="C41" s="13" t="s">
        <v>196</v>
      </c>
      <c r="D41" s="13" t="s">
        <v>100</v>
      </c>
      <c r="E41" s="31">
        <f>E40*CONVERT(1,"m","ft")</f>
        <v>395.95842886842689</v>
      </c>
      <c r="F41" s="31">
        <f>F40*CONVERT(1,"m","ft")</f>
        <v>389.08462422751819</v>
      </c>
      <c r="G41" s="31">
        <f>G40*CONVERT(1,"m","ft")</f>
        <v>395.95842886842689</v>
      </c>
      <c r="H41" s="31">
        <f>H40*CONVERT(1,"m","ft")</f>
        <v>389.08462422751819</v>
      </c>
      <c r="I41" s="11"/>
    </row>
    <row r="42" spans="1:9" x14ac:dyDescent="0.25">
      <c r="A42" s="11"/>
      <c r="B42" s="27" t="s">
        <v>209</v>
      </c>
      <c r="C42" s="13" t="s">
        <v>195</v>
      </c>
      <c r="D42" s="13" t="s">
        <v>108</v>
      </c>
      <c r="E42" s="31">
        <f>E16/(2*E3)*E11^2/(E38-E39)*LOG(E38/E39)</f>
        <v>93.664014715051707</v>
      </c>
      <c r="F42" s="31">
        <f t="shared" ref="F42:H42" si="5">F16/(2*F3)*F11^2/(F38-F39)*LOG(F38/F39)</f>
        <v>93.606757762425516</v>
      </c>
      <c r="G42" s="31">
        <f t="shared" si="5"/>
        <v>191.41091844998024</v>
      </c>
      <c r="H42" s="31">
        <f t="shared" si="5"/>
        <v>191.69869213271497</v>
      </c>
      <c r="I42" s="11" t="s">
        <v>211</v>
      </c>
    </row>
    <row r="43" spans="1:9" x14ac:dyDescent="0.25">
      <c r="A43" s="11"/>
      <c r="B43" s="28"/>
      <c r="C43" s="13" t="s">
        <v>196</v>
      </c>
      <c r="D43" s="13" t="s">
        <v>100</v>
      </c>
      <c r="E43" s="31">
        <f>E42*CONVERT(1,"m","ft")</f>
        <v>307.29663620423787</v>
      </c>
      <c r="F43" s="31">
        <f>F42*CONVERT(1,"m","ft")</f>
        <v>307.108785309795</v>
      </c>
      <c r="G43" s="31">
        <f>G42*CONVERT(1,"m","ft")</f>
        <v>627.98857759179873</v>
      </c>
      <c r="H43" s="31">
        <f>H42*CONVERT(1,"m","ft")</f>
        <v>628.9327169708497</v>
      </c>
      <c r="I43" s="11"/>
    </row>
  </sheetData>
  <mergeCells count="11">
    <mergeCell ref="B40:B41"/>
    <mergeCell ref="B42:B43"/>
    <mergeCell ref="B14:B16"/>
    <mergeCell ref="B17:B18"/>
    <mergeCell ref="B10:B11"/>
    <mergeCell ref="A5:A13"/>
    <mergeCell ref="A17:A31"/>
    <mergeCell ref="A14:A16"/>
    <mergeCell ref="B21:B22"/>
    <mergeCell ref="B19:B20"/>
    <mergeCell ref="B29:B30"/>
  </mergeCells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14D13-E91F-4162-B421-CD8A7D74F85F}">
  <dimension ref="C3:K3"/>
  <sheetViews>
    <sheetView workbookViewId="0">
      <selection activeCell="K3" sqref="K3"/>
    </sheetView>
  </sheetViews>
  <sheetFormatPr defaultRowHeight="14" x14ac:dyDescent="0.25"/>
  <cols>
    <col min="2" max="2" width="20.90625" customWidth="1"/>
  </cols>
  <sheetData>
    <row r="3" spans="3:11" x14ac:dyDescent="0.25">
      <c r="C3" t="s">
        <v>212</v>
      </c>
      <c r="D3" t="s">
        <v>103</v>
      </c>
      <c r="E3" t="s">
        <v>213</v>
      </c>
      <c r="F3" t="s">
        <v>214</v>
      </c>
      <c r="G3" t="s">
        <v>215</v>
      </c>
      <c r="H3" t="s">
        <v>216</v>
      </c>
      <c r="I3" t="s">
        <v>217</v>
      </c>
      <c r="J3" t="s">
        <v>218</v>
      </c>
      <c r="K3" t="s">
        <v>212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5AC9-B46A-4E83-B22F-8E08B28DC316}">
  <dimension ref="A1:J27"/>
  <sheetViews>
    <sheetView zoomScale="105" workbookViewId="0">
      <selection activeCell="E6" sqref="E6"/>
    </sheetView>
  </sheetViews>
  <sheetFormatPr defaultColWidth="8.7265625" defaultRowHeight="14.5" x14ac:dyDescent="0.35"/>
  <cols>
    <col min="1" max="1" width="19.453125" style="1" bestFit="1" customWidth="1"/>
    <col min="2" max="2" width="34" style="1" bestFit="1" customWidth="1"/>
    <col min="3" max="3" width="13.90625" style="1" bestFit="1" customWidth="1"/>
    <col min="4" max="4" width="11" style="1" bestFit="1" customWidth="1"/>
    <col min="5" max="5" width="8.7265625" style="1"/>
    <col min="6" max="6" width="9" style="1" bestFit="1" customWidth="1"/>
    <col min="7" max="7" width="17.90625" style="1" bestFit="1" customWidth="1"/>
    <col min="8" max="16384" width="8.7265625" style="1"/>
  </cols>
  <sheetData>
    <row r="1" spans="1:10" x14ac:dyDescent="0.35">
      <c r="B1" s="1" t="s">
        <v>65</v>
      </c>
      <c r="C1" s="1" t="s">
        <v>64</v>
      </c>
      <c r="D1" s="1" t="s">
        <v>17</v>
      </c>
      <c r="E1" s="1">
        <v>1.2250000000000001</v>
      </c>
    </row>
    <row r="2" spans="1:10" x14ac:dyDescent="0.35">
      <c r="A2" s="1" t="s">
        <v>7</v>
      </c>
    </row>
    <row r="3" spans="1:10" x14ac:dyDescent="0.35">
      <c r="B3" s="1" t="s">
        <v>90</v>
      </c>
      <c r="C3" s="1" t="s">
        <v>8</v>
      </c>
      <c r="D3" s="1" t="s">
        <v>18</v>
      </c>
      <c r="E3" s="1">
        <v>1.6</v>
      </c>
      <c r="G3" s="1" t="s">
        <v>21</v>
      </c>
      <c r="H3" s="1" t="s">
        <v>60</v>
      </c>
      <c r="I3" s="2">
        <f>Vs_1_ms^2*rho_kgm3*CLmax/2</f>
        <v>933.69608888888911</v>
      </c>
    </row>
    <row r="4" spans="1:10" x14ac:dyDescent="0.35">
      <c r="B4" s="1" t="s">
        <v>91</v>
      </c>
      <c r="C4" s="1" t="s">
        <v>89</v>
      </c>
      <c r="D4" s="1" t="s">
        <v>18</v>
      </c>
      <c r="H4" s="1" t="s">
        <v>61</v>
      </c>
      <c r="I4" s="2">
        <f>Vs_1_ms^2*rho_kgm3*CLmax/2/9.8</f>
        <v>95.27511111111113</v>
      </c>
    </row>
    <row r="5" spans="1:10" x14ac:dyDescent="0.35">
      <c r="B5" s="1" t="s">
        <v>92</v>
      </c>
      <c r="C5" s="1" t="s">
        <v>16</v>
      </c>
      <c r="D5" s="1" t="s">
        <v>18</v>
      </c>
      <c r="E5" s="2">
        <v>2</v>
      </c>
      <c r="H5" s="1" t="s">
        <v>22</v>
      </c>
      <c r="I5" s="2">
        <f>Vs_1_ms^2*rho_kgm3*CLmax/2/9.81 *CONVERT(1,"kg","lbm")/(CONVERT(1,"m","ft"))^2</f>
        <v>19.493989015459068</v>
      </c>
    </row>
    <row r="6" spans="1:10" x14ac:dyDescent="0.35">
      <c r="B6" s="1" t="s">
        <v>66</v>
      </c>
      <c r="C6" s="1" t="s">
        <v>25</v>
      </c>
      <c r="D6" s="1" t="s">
        <v>19</v>
      </c>
      <c r="E6" s="2">
        <f>Vs_0_ms</f>
        <v>25.722222222222225</v>
      </c>
      <c r="G6" s="1" t="s">
        <v>20</v>
      </c>
      <c r="H6" s="1" t="s">
        <v>60</v>
      </c>
      <c r="I6" s="2">
        <f>Vs_0_ms^2*rho_kgm3*CLmax_to/2</f>
        <v>810.50007716049413</v>
      </c>
    </row>
    <row r="7" spans="1:10" x14ac:dyDescent="0.35">
      <c r="B7" s="1" t="s">
        <v>67</v>
      </c>
      <c r="C7" s="1" t="s">
        <v>26</v>
      </c>
      <c r="D7" s="1" t="s">
        <v>27</v>
      </c>
      <c r="E7" s="2">
        <f>Vs_1_ms</f>
        <v>30.866666666666667</v>
      </c>
      <c r="H7" s="1" t="s">
        <v>61</v>
      </c>
      <c r="I7" s="2">
        <f>Vs_0_ms^2*rho_kgm3*CLmax_to/2/9.8</f>
        <v>82.704089506172863</v>
      </c>
    </row>
    <row r="8" spans="1:10" x14ac:dyDescent="0.35">
      <c r="H8" s="1" t="s">
        <v>22</v>
      </c>
      <c r="I8" s="2">
        <f>Vs_0_ms^2*rho_kgm3*CLmax_to/2/9.81 *CONVERT(1,"kg","lbm")/(CONVERT(1,"m","ft"))^2</f>
        <v>16.921865464808221</v>
      </c>
    </row>
    <row r="9" spans="1:10" x14ac:dyDescent="0.35">
      <c r="A9" s="1" t="s">
        <v>29</v>
      </c>
    </row>
    <row r="10" spans="1:10" x14ac:dyDescent="0.35">
      <c r="B10" s="1" t="s">
        <v>83</v>
      </c>
      <c r="C10" s="1" t="s">
        <v>82</v>
      </c>
      <c r="D10" s="1" t="s">
        <v>84</v>
      </c>
      <c r="E10" s="4">
        <v>0.86160000000000003</v>
      </c>
      <c r="J10" s="1" t="s">
        <v>86</v>
      </c>
    </row>
    <row r="11" spans="1:10" x14ac:dyDescent="0.35">
      <c r="B11" s="1" t="s">
        <v>81</v>
      </c>
      <c r="C11" s="1" t="s">
        <v>78</v>
      </c>
      <c r="D11" s="1" t="s">
        <v>80</v>
      </c>
      <c r="E11" s="2">
        <f>(-4.9+SQRT(4.9^2-4*0.009*(-S_TOG_ft)))/(2*0.009)</f>
        <v>158.14512015254027</v>
      </c>
      <c r="G11" s="1" t="s">
        <v>85</v>
      </c>
      <c r="I11" s="1">
        <v>10</v>
      </c>
      <c r="J11" s="2">
        <f>MIN(E11:E12)/I11*E10*CLmax_to</f>
        <v>25.087293216689879</v>
      </c>
    </row>
    <row r="12" spans="1:10" x14ac:dyDescent="0.35">
      <c r="B12" s="1" t="s">
        <v>81</v>
      </c>
      <c r="C12" s="1" t="s">
        <v>79</v>
      </c>
      <c r="D12" s="1" t="s">
        <v>80</v>
      </c>
      <c r="E12" s="2">
        <f>(-8.134+SQRT(8.134^2-4*0.0149*(-S_TO_ft)))/(2*0.0149)</f>
        <v>145.58549916834889</v>
      </c>
      <c r="I12" s="1">
        <v>20</v>
      </c>
      <c r="J12" s="2">
        <f>MIN(E11:E12)/I12*E10*CLmax_to</f>
        <v>12.54364660834494</v>
      </c>
    </row>
    <row r="13" spans="1:10" x14ac:dyDescent="0.35">
      <c r="B13" s="1" t="s">
        <v>88</v>
      </c>
      <c r="G13" s="2"/>
      <c r="I13" s="1">
        <v>30</v>
      </c>
      <c r="J13" s="2">
        <f>MIN(E11:E12)/I13*E10*CLmax_to</f>
        <v>8.3624310722299597</v>
      </c>
    </row>
    <row r="15" spans="1:10" x14ac:dyDescent="0.35">
      <c r="F15" s="3"/>
      <c r="G15" s="3"/>
    </row>
    <row r="22" spans="2:3" x14ac:dyDescent="0.35">
      <c r="B22" s="1" t="s">
        <v>68</v>
      </c>
      <c r="C22" s="1" t="s">
        <v>62</v>
      </c>
    </row>
    <row r="23" spans="2:3" x14ac:dyDescent="0.35">
      <c r="B23" s="1" t="s">
        <v>69</v>
      </c>
      <c r="C23" s="1" t="s">
        <v>63</v>
      </c>
    </row>
    <row r="24" spans="2:3" x14ac:dyDescent="0.35">
      <c r="B24" s="1" t="s">
        <v>70</v>
      </c>
      <c r="C24" s="1" t="s">
        <v>71</v>
      </c>
    </row>
    <row r="25" spans="2:3" x14ac:dyDescent="0.35">
      <c r="B25" s="1" t="s">
        <v>72</v>
      </c>
      <c r="C25" s="1" t="s">
        <v>73</v>
      </c>
    </row>
    <row r="26" spans="2:3" x14ac:dyDescent="0.35">
      <c r="B26" s="1" t="s">
        <v>74</v>
      </c>
      <c r="C26" s="1" t="s">
        <v>75</v>
      </c>
    </row>
    <row r="27" spans="2:3" x14ac:dyDescent="0.35">
      <c r="B27" s="1" t="s">
        <v>76</v>
      </c>
      <c r="C27" s="1" t="s">
        <v>77</v>
      </c>
    </row>
  </sheetData>
  <phoneticPr fontId="2" type="noConversion"/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88E33-D274-4CB3-8A11-180F7B41DEB9}">
  <dimension ref="A1"/>
  <sheetViews>
    <sheetView workbookViewId="0">
      <selection sqref="A1:XFD1048576"/>
    </sheetView>
  </sheetViews>
  <sheetFormatPr defaultColWidth="8.7265625" defaultRowHeight="14.5" x14ac:dyDescent="0.35"/>
  <cols>
    <col min="1" max="16384" width="8.7265625" style="1"/>
  </cols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10</vt:i4>
      </vt:variant>
    </vt:vector>
  </HeadingPairs>
  <TitlesOfParts>
    <vt:vector size="15" baseType="lpstr">
      <vt:lpstr>Input</vt:lpstr>
      <vt:lpstr>Performance</vt:lpstr>
      <vt:lpstr>RSTA</vt:lpstr>
      <vt:lpstr>WL</vt:lpstr>
      <vt:lpstr>Weight</vt:lpstr>
      <vt:lpstr>alt_ft</vt:lpstr>
      <vt:lpstr>CLmax</vt:lpstr>
      <vt:lpstr>CLmax_to</vt:lpstr>
      <vt:lpstr>rho_kgm3</vt:lpstr>
      <vt:lpstr>S_TO_ft</vt:lpstr>
      <vt:lpstr>S_TO_m</vt:lpstr>
      <vt:lpstr>S_TOG_ft</vt:lpstr>
      <vt:lpstr>S_TOG_m</vt:lpstr>
      <vt:lpstr>Vs_0_ms</vt:lpstr>
      <vt:lpstr>Vs_1_ms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Sehwan Park</dc:creator>
  <cp:lastModifiedBy>Sehwan Park</cp:lastModifiedBy>
  <dcterms:created xsi:type="dcterms:W3CDTF">2026-04-12T08:37:45Z</dcterms:created>
  <dcterms:modified xsi:type="dcterms:W3CDTF">2026-06-08T20:27:50Z</dcterms:modified>
</cp:coreProperties>
</file>