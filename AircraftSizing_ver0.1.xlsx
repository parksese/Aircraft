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91093fbf50c225/"/>
    </mc:Choice>
  </mc:AlternateContent>
  <xr:revisionPtr revIDLastSave="1629" documentId="8_{796B69B9-2398-40C5-8082-1FFE15878A19}" xr6:coauthVersionLast="47" xr6:coauthVersionMax="47" xr10:uidLastSave="{AC28BDC4-B99D-4CF3-87E4-31054B71D969}"/>
  <bookViews>
    <workbookView xWindow="-110" yWindow="-110" windowWidth="25820" windowHeight="15500" activeTab="1" xr2:uid="{92019FB0-FC2D-44ED-AF39-9D3A35716D50}"/>
  </bookViews>
  <sheets>
    <sheet name="Input" sheetId="1" r:id="rId1"/>
    <sheet name="Performance" sheetId="5" r:id="rId2"/>
    <sheet name="Performance (2)" sheetId="6" r:id="rId3"/>
    <sheet name="RSTA" sheetId="4" r:id="rId4"/>
    <sheet name="WL" sheetId="3" r:id="rId5"/>
    <sheet name="Weight" sheetId="2" r:id="rId6"/>
  </sheets>
  <definedNames>
    <definedName name="alt_ft">Input!$H$11</definedName>
    <definedName name="CLmax">WL!$E$3</definedName>
    <definedName name="CLmax_to">WL!$E$5</definedName>
    <definedName name="rho_kgm3">WL!$E$1</definedName>
    <definedName name="S_TO_ft">Input!$H$13</definedName>
    <definedName name="S_TO_m">Input!$H$12</definedName>
    <definedName name="S_TOG_ft">Input!$H$15</definedName>
    <definedName name="S_TOG_m">Input!$H$14</definedName>
    <definedName name="Vs_0_ms">Input!$H$7</definedName>
    <definedName name="Vs_1_ms">Input!$H$9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5" l="1"/>
  <c r="E30" i="5"/>
  <c r="E27" i="5"/>
  <c r="E22" i="5"/>
  <c r="E20" i="5"/>
  <c r="E23" i="5" s="1"/>
  <c r="E32" i="5" s="1"/>
  <c r="E18" i="5"/>
  <c r="E15" i="5"/>
  <c r="E16" i="5" s="1"/>
  <c r="E10" i="5"/>
  <c r="E11" i="5" s="1"/>
  <c r="H37" i="5"/>
  <c r="H30" i="5"/>
  <c r="H27" i="5"/>
  <c r="H22" i="5"/>
  <c r="H20" i="5"/>
  <c r="H23" i="5" s="1"/>
  <c r="H32" i="5" s="1"/>
  <c r="H18" i="5"/>
  <c r="H15" i="5"/>
  <c r="H16" i="5" s="1"/>
  <c r="H10" i="5"/>
  <c r="H11" i="5" s="1"/>
  <c r="I37" i="5"/>
  <c r="I30" i="5"/>
  <c r="I27" i="5"/>
  <c r="I22" i="5"/>
  <c r="I20" i="5"/>
  <c r="I18" i="5"/>
  <c r="I15" i="5"/>
  <c r="I16" i="5" s="1"/>
  <c r="I10" i="5"/>
  <c r="I11" i="5" s="1"/>
  <c r="L77" i="2"/>
  <c r="L79" i="2"/>
  <c r="L78" i="2"/>
  <c r="L76" i="2" s="1" a="1"/>
  <c r="L76" i="2" s="1"/>
  <c r="G79" i="2"/>
  <c r="G78" i="2"/>
  <c r="G77" i="2"/>
  <c r="L109" i="2"/>
  <c r="G109" i="2"/>
  <c r="F109" i="2"/>
  <c r="F108" i="2"/>
  <c r="F107" i="2"/>
  <c r="F106" i="2"/>
  <c r="F105" i="2" s="1" a="1"/>
  <c r="F105" i="2" s="1"/>
  <c r="G105" i="2" s="1" a="1"/>
  <c r="G105" i="2" s="1"/>
  <c r="K92" i="2" a="1"/>
  <c r="K92" i="2" s="1"/>
  <c r="F92" i="2" a="1"/>
  <c r="F92" i="2" s="1"/>
  <c r="U85" i="2"/>
  <c r="U83" i="2" s="1"/>
  <c r="P85" i="2"/>
  <c r="K85" i="2" a="1"/>
  <c r="K85" i="2" s="1"/>
  <c r="F85" i="2" a="1"/>
  <c r="F85" i="2" s="1"/>
  <c r="U80" i="2"/>
  <c r="V80" i="2" s="1"/>
  <c r="P80" i="2"/>
  <c r="K80" i="2" a="1"/>
  <c r="K80" i="2" s="1"/>
  <c r="N80" i="2" s="1" a="1"/>
  <c r="N80" i="2" s="1"/>
  <c r="F80" i="2" a="1"/>
  <c r="F80" i="2" s="1"/>
  <c r="K76" i="2" a="1"/>
  <c r="K76" i="2" s="1"/>
  <c r="F76" i="2" a="1"/>
  <c r="F76" i="2" s="1"/>
  <c r="I76" i="2" s="1" a="1"/>
  <c r="I76" i="2" s="1"/>
  <c r="L73" i="2"/>
  <c r="U72" i="2"/>
  <c r="W72" i="2" s="1"/>
  <c r="P72" i="2"/>
  <c r="Q72" i="2" s="1"/>
  <c r="L42" i="2"/>
  <c r="L12" i="2"/>
  <c r="L11" i="2"/>
  <c r="L6" i="2"/>
  <c r="G42" i="2"/>
  <c r="F42" i="2"/>
  <c r="F41" i="2"/>
  <c r="F40" i="2"/>
  <c r="F39" i="2"/>
  <c r="K25" i="2" a="1"/>
  <c r="K25" i="2" s="1"/>
  <c r="K18" i="2" a="1"/>
  <c r="K18" i="2" s="1"/>
  <c r="L18" i="2" s="1" a="1"/>
  <c r="L18" i="2" s="1"/>
  <c r="K13" i="2" a="1"/>
  <c r="K13" i="2" s="1"/>
  <c r="K9" i="2" a="1"/>
  <c r="K9" i="2" s="1"/>
  <c r="F25" i="2" a="1"/>
  <c r="F25" i="2" s="1"/>
  <c r="G25" i="2" s="1"/>
  <c r="F9" i="2" a="1"/>
  <c r="F9" i="2" s="1"/>
  <c r="F18" i="2" a="1"/>
  <c r="F18" i="2" s="1"/>
  <c r="I18" i="2" s="1" a="1"/>
  <c r="I18" i="2" s="1"/>
  <c r="F13" i="2" a="1"/>
  <c r="F13" i="2" s="1"/>
  <c r="P5" i="2"/>
  <c r="Q5" i="2"/>
  <c r="P13" i="2"/>
  <c r="Q13" i="2" s="1"/>
  <c r="P18" i="2"/>
  <c r="Q18" i="2"/>
  <c r="U5" i="2"/>
  <c r="X5" i="2" s="1"/>
  <c r="U13" i="2"/>
  <c r="X13" i="2" s="1"/>
  <c r="U18" i="2"/>
  <c r="X18" i="2" s="1"/>
  <c r="E41" i="6"/>
  <c r="E43" i="6"/>
  <c r="E33" i="6"/>
  <c r="E9" i="6"/>
  <c r="E37" i="6"/>
  <c r="E23" i="6"/>
  <c r="E21" i="6"/>
  <c r="E11" i="6"/>
  <c r="K30" i="5"/>
  <c r="J30" i="5"/>
  <c r="K27" i="5"/>
  <c r="J27" i="5"/>
  <c r="K22" i="5"/>
  <c r="J22" i="5"/>
  <c r="K20" i="5"/>
  <c r="J20" i="5"/>
  <c r="K18" i="5"/>
  <c r="J18" i="5"/>
  <c r="K15" i="5"/>
  <c r="K16" i="5" s="1"/>
  <c r="K39" i="5" s="1"/>
  <c r="J15" i="5"/>
  <c r="J16" i="5" s="1"/>
  <c r="J39" i="5" s="1"/>
  <c r="K10" i="5"/>
  <c r="K11" i="5" s="1"/>
  <c r="K38" i="5" s="1"/>
  <c r="J10" i="5"/>
  <c r="J11" i="5" s="1"/>
  <c r="J38" i="5" s="1"/>
  <c r="G27" i="5"/>
  <c r="F27" i="5"/>
  <c r="G37" i="5"/>
  <c r="G30" i="5"/>
  <c r="G22" i="5"/>
  <c r="G20" i="5"/>
  <c r="G18" i="5"/>
  <c r="G15" i="5"/>
  <c r="G16" i="5" s="1"/>
  <c r="G10" i="5"/>
  <c r="G11" i="5" s="1"/>
  <c r="G38" i="5" s="1"/>
  <c r="F37" i="5"/>
  <c r="F20" i="5"/>
  <c r="F22" i="5"/>
  <c r="F10" i="5"/>
  <c r="F11" i="5" s="1"/>
  <c r="F38" i="5" s="1"/>
  <c r="F30" i="5"/>
  <c r="F18" i="5"/>
  <c r="F15" i="5"/>
  <c r="F16" i="5" s="1"/>
  <c r="E12" i="3"/>
  <c r="H13" i="1"/>
  <c r="H12" i="1"/>
  <c r="I5" i="3"/>
  <c r="I6" i="3"/>
  <c r="D24" i="1"/>
  <c r="H15" i="1"/>
  <c r="E11" i="3" s="1"/>
  <c r="H14" i="1"/>
  <c r="H10" i="1"/>
  <c r="H7" i="1"/>
  <c r="E6" i="3" s="1"/>
  <c r="H8" i="1"/>
  <c r="H9" i="1"/>
  <c r="I4" i="3" s="1"/>
  <c r="H6" i="1"/>
  <c r="H5" i="1"/>
  <c r="H3" i="1"/>
  <c r="H4" i="1"/>
  <c r="E38" i="5" l="1"/>
  <c r="E33" i="5"/>
  <c r="E36" i="5"/>
  <c r="E40" i="5"/>
  <c r="E39" i="5"/>
  <c r="E35" i="5"/>
  <c r="H38" i="5"/>
  <c r="H33" i="5"/>
  <c r="H40" i="5" s="1"/>
  <c r="H36" i="5"/>
  <c r="H39" i="5"/>
  <c r="G39" i="5"/>
  <c r="I23" i="5"/>
  <c r="I32" i="5" s="1"/>
  <c r="I33" i="5" s="1"/>
  <c r="I40" i="5" s="1"/>
  <c r="H35" i="5"/>
  <c r="I38" i="5"/>
  <c r="I35" i="5"/>
  <c r="I39" i="5"/>
  <c r="F39" i="5"/>
  <c r="X72" i="2"/>
  <c r="V85" i="2"/>
  <c r="W85" i="2"/>
  <c r="X85" i="2"/>
  <c r="W80" i="2"/>
  <c r="X80" i="2"/>
  <c r="N85" i="2" a="1"/>
  <c r="N85" i="2" s="1"/>
  <c r="M85" i="2" a="1"/>
  <c r="M85" i="2" s="1"/>
  <c r="K83" i="2" a="1"/>
  <c r="K83" i="2" s="1"/>
  <c r="L85" i="2" a="1"/>
  <c r="L85" i="2" s="1"/>
  <c r="L83" i="2" s="1" a="1"/>
  <c r="L83" i="2" s="1"/>
  <c r="M83" i="2" a="1"/>
  <c r="M83" i="2" s="1"/>
  <c r="I80" i="2" a="1"/>
  <c r="I80" i="2" s="1"/>
  <c r="H80" i="2" a="1"/>
  <c r="H80" i="2" s="1"/>
  <c r="G80" i="2" a="1"/>
  <c r="G80" i="2" s="1"/>
  <c r="H92" i="2"/>
  <c r="G92" i="2"/>
  <c r="M80" i="2" a="1"/>
  <c r="M80" i="2" s="1"/>
  <c r="L80" i="2" a="1"/>
  <c r="L80" i="2" s="1"/>
  <c r="H76" i="2" a="1"/>
  <c r="H76" i="2" s="1"/>
  <c r="S80" i="2"/>
  <c r="R80" i="2"/>
  <c r="Q80" i="2"/>
  <c r="I92" i="2"/>
  <c r="M92" i="2"/>
  <c r="L92" i="2"/>
  <c r="P83" i="2"/>
  <c r="S85" i="2"/>
  <c r="R85" i="2"/>
  <c r="Q85" i="2"/>
  <c r="S72" i="2"/>
  <c r="R72" i="2"/>
  <c r="I105" i="2" a="1"/>
  <c r="I105" i="2" s="1"/>
  <c r="H105" i="2" a="1"/>
  <c r="H105" i="2" s="1"/>
  <c r="G76" i="2" a="1"/>
  <c r="G76" i="2" s="1"/>
  <c r="X83" i="2"/>
  <c r="W83" i="2"/>
  <c r="V83" i="2"/>
  <c r="I85" i="2" a="1"/>
  <c r="I85" i="2" s="1"/>
  <c r="H85" i="2" a="1"/>
  <c r="H85" i="2" s="1"/>
  <c r="F83" i="2" a="1"/>
  <c r="F83" i="2" s="1"/>
  <c r="F72" i="2" a="1"/>
  <c r="F72" i="2" s="1"/>
  <c r="G85" i="2" a="1"/>
  <c r="G85" i="2" s="1"/>
  <c r="G83" i="2" s="1" a="1"/>
  <c r="G83" i="2" s="1"/>
  <c r="N92" i="2"/>
  <c r="N76" i="2" a="1"/>
  <c r="N76" i="2" s="1"/>
  <c r="K72" i="2" a="1"/>
  <c r="K72" i="2" s="1"/>
  <c r="M76" i="2" a="1"/>
  <c r="M76" i="2" s="1"/>
  <c r="M72" i="2" s="1" a="1"/>
  <c r="M72" i="2" s="1"/>
  <c r="N72" i="2" a="1"/>
  <c r="N72" i="2" s="1"/>
  <c r="V72" i="2"/>
  <c r="F38" i="2" a="1"/>
  <c r="F38" i="2" s="1"/>
  <c r="I38" i="2" s="1" a="1"/>
  <c r="I38" i="2" s="1"/>
  <c r="H9" i="2" a="1"/>
  <c r="H9" i="2" s="1"/>
  <c r="F5" i="2" a="1"/>
  <c r="F5" i="2" s="1"/>
  <c r="I9" i="2" a="1"/>
  <c r="I9" i="2" s="1"/>
  <c r="I5" i="2" s="1" a="1"/>
  <c r="I5" i="2" s="1"/>
  <c r="L13" i="2" a="1"/>
  <c r="L13" i="2" s="1"/>
  <c r="M13" i="2" a="1"/>
  <c r="M13" i="2" s="1"/>
  <c r="H13" i="2" a="1"/>
  <c r="H13" i="2" s="1"/>
  <c r="H25" i="2"/>
  <c r="I13" i="2" a="1"/>
  <c r="I13" i="2" s="1"/>
  <c r="I25" i="2"/>
  <c r="G18" i="2" a="1"/>
  <c r="G18" i="2" s="1"/>
  <c r="H18" i="2" a="1"/>
  <c r="H18" i="2" s="1"/>
  <c r="G9" i="2" a="1"/>
  <c r="G9" i="2" s="1"/>
  <c r="G13" i="2" a="1"/>
  <c r="G13" i="2" s="1"/>
  <c r="N25" i="2"/>
  <c r="M25" i="2"/>
  <c r="L25" i="2"/>
  <c r="N9" i="2" a="1"/>
  <c r="N9" i="2" s="1"/>
  <c r="K5" i="2" a="1"/>
  <c r="K5" i="2" s="1"/>
  <c r="M9" i="2" a="1"/>
  <c r="M9" i="2" s="1"/>
  <c r="L9" i="2" a="1"/>
  <c r="L9" i="2" s="1"/>
  <c r="N13" i="2" a="1"/>
  <c r="N13" i="2" s="1"/>
  <c r="M18" i="2" a="1"/>
  <c r="M18" i="2" s="1"/>
  <c r="K16" i="2" a="1"/>
  <c r="K16" i="2" s="1"/>
  <c r="L16" i="2" s="1" a="1"/>
  <c r="L16" i="2" s="1"/>
  <c r="N18" i="2" a="1"/>
  <c r="N18" i="2" s="1"/>
  <c r="N16" i="2" s="1" a="1"/>
  <c r="N16" i="2" s="1"/>
  <c r="F16" i="2" a="1"/>
  <c r="F16" i="2" s="1"/>
  <c r="I16" i="2" s="1" a="1"/>
  <c r="I16" i="2" s="1"/>
  <c r="P16" i="2"/>
  <c r="Q16" i="2" s="1"/>
  <c r="S13" i="2"/>
  <c r="S18" i="2"/>
  <c r="V18" i="2"/>
  <c r="V13" i="2"/>
  <c r="U16" i="2"/>
  <c r="X16" i="2" s="1"/>
  <c r="V5" i="2"/>
  <c r="W5" i="2"/>
  <c r="W13" i="2"/>
  <c r="W18" i="2"/>
  <c r="R18" i="2"/>
  <c r="E12" i="6"/>
  <c r="E24" i="6"/>
  <c r="E40" i="6"/>
  <c r="E36" i="6"/>
  <c r="E38" i="6"/>
  <c r="E35" i="6"/>
  <c r="E39" i="6"/>
  <c r="J23" i="5"/>
  <c r="J32" i="5" s="1"/>
  <c r="K37" i="5"/>
  <c r="K23" i="5"/>
  <c r="K32" i="5" s="1"/>
  <c r="J37" i="5"/>
  <c r="J35" i="5"/>
  <c r="K35" i="5"/>
  <c r="G23" i="5"/>
  <c r="G32" i="5" s="1"/>
  <c r="G35" i="5"/>
  <c r="F35" i="5"/>
  <c r="F23" i="5"/>
  <c r="F32" i="5" s="1"/>
  <c r="J13" i="3"/>
  <c r="J12" i="3"/>
  <c r="J11" i="3"/>
  <c r="I8" i="3"/>
  <c r="I3" i="3"/>
  <c r="E7" i="3"/>
  <c r="I7" i="3"/>
  <c r="E43" i="5" l="1"/>
  <c r="E44" i="5" s="1"/>
  <c r="E41" i="5"/>
  <c r="E42" i="5" s="1"/>
  <c r="H43" i="5"/>
  <c r="H44" i="5" s="1"/>
  <c r="I36" i="5"/>
  <c r="I41" i="5" s="1"/>
  <c r="I42" i="5" s="1"/>
  <c r="H41" i="5"/>
  <c r="H42" i="5" s="1"/>
  <c r="I43" i="5"/>
  <c r="I44" i="5" s="1"/>
  <c r="J36" i="5"/>
  <c r="J41" i="5" s="1"/>
  <c r="J42" i="5" s="1"/>
  <c r="F36" i="5"/>
  <c r="F41" i="5" s="1"/>
  <c r="F42" i="5" s="1"/>
  <c r="G33" i="5"/>
  <c r="G40" i="5" s="1"/>
  <c r="K33" i="5"/>
  <c r="K40" i="5" s="1"/>
  <c r="H83" i="2" a="1"/>
  <c r="H83" i="2" s="1"/>
  <c r="N83" i="2" a="1"/>
  <c r="N83" i="2" s="1"/>
  <c r="F91" i="2" a="1"/>
  <c r="F91" i="2" s="1"/>
  <c r="I83" i="2" a="1"/>
  <c r="I83" i="2" s="1"/>
  <c r="Q83" i="2"/>
  <c r="S83" i="2"/>
  <c r="R83" i="2"/>
  <c r="G72" i="2" a="1"/>
  <c r="G72" i="2" s="1"/>
  <c r="G91" i="2" s="1" a="1"/>
  <c r="G91" i="2" s="1"/>
  <c r="H72" i="2" a="1"/>
  <c r="H72" i="2" s="1"/>
  <c r="H91" i="2" s="1" a="1"/>
  <c r="H91" i="2" s="1"/>
  <c r="I72" i="2" a="1"/>
  <c r="I72" i="2" s="1"/>
  <c r="I91" i="2" s="1" a="1"/>
  <c r="I91" i="2" s="1"/>
  <c r="K91" i="2" a="1"/>
  <c r="K91" i="2" s="1"/>
  <c r="N91" i="2" a="1"/>
  <c r="N91" i="2" s="1"/>
  <c r="L72" i="2" a="1"/>
  <c r="L72" i="2" s="1"/>
  <c r="L91" i="2" s="1" a="1"/>
  <c r="L91" i="2" s="1"/>
  <c r="H38" i="2" a="1"/>
  <c r="H38" i="2" s="1"/>
  <c r="G38" i="2" a="1"/>
  <c r="G38" i="2" s="1"/>
  <c r="H5" i="2" a="1"/>
  <c r="H5" i="2" s="1"/>
  <c r="G5" i="2" a="1"/>
  <c r="G5" i="2" s="1"/>
  <c r="H16" i="2" a="1"/>
  <c r="H16" i="2" s="1"/>
  <c r="G16" i="2" a="1"/>
  <c r="G16" i="2" s="1"/>
  <c r="N5" i="2" a="1"/>
  <c r="N5" i="2" s="1"/>
  <c r="M16" i="2" a="1"/>
  <c r="M16" i="2" s="1"/>
  <c r="L5" i="2" a="1"/>
  <c r="L5" i="2" s="1"/>
  <c r="M5" i="2" a="1"/>
  <c r="M5" i="2" s="1"/>
  <c r="K24" i="2" a="1"/>
  <c r="K24" i="2" s="1"/>
  <c r="N24" i="2" s="1" a="1"/>
  <c r="N24" i="2" s="1"/>
  <c r="F24" i="2" a="1"/>
  <c r="F24" i="2" s="1"/>
  <c r="I24" i="2" a="1"/>
  <c r="I24" i="2" s="1"/>
  <c r="G24" i="2" a="1"/>
  <c r="G24" i="2" s="1"/>
  <c r="R13" i="2"/>
  <c r="R5" i="2"/>
  <c r="S16" i="2"/>
  <c r="R16" i="2"/>
  <c r="W16" i="2"/>
  <c r="V16" i="2"/>
  <c r="E44" i="6"/>
  <c r="E42" i="6"/>
  <c r="J33" i="5"/>
  <c r="J40" i="5" s="1"/>
  <c r="F33" i="5"/>
  <c r="F40" i="5" s="1"/>
  <c r="K36" i="5" l="1"/>
  <c r="K41" i="5" s="1"/>
  <c r="K42" i="5" s="1"/>
  <c r="G36" i="5"/>
  <c r="G41" i="5" s="1"/>
  <c r="G42" i="5" s="1"/>
  <c r="K43" i="5"/>
  <c r="K44" i="5" s="1"/>
  <c r="J43" i="5"/>
  <c r="J44" i="5" s="1"/>
  <c r="G43" i="5"/>
  <c r="G44" i="5" s="1"/>
  <c r="F43" i="5"/>
  <c r="F44" i="5" s="1"/>
  <c r="M91" i="2" a="1"/>
  <c r="M91" i="2" s="1"/>
  <c r="K96" i="2" a="1"/>
  <c r="K96" i="2" s="1"/>
  <c r="N96" i="2" s="1" a="1"/>
  <c r="N96" i="2" s="1"/>
  <c r="F96" i="2" a="1"/>
  <c r="F96" i="2" s="1"/>
  <c r="M24" i="2" a="1"/>
  <c r="M24" i="2" s="1"/>
  <c r="H24" i="2" a="1"/>
  <c r="H24" i="2" s="1"/>
  <c r="F29" i="2" a="1"/>
  <c r="F29" i="2" s="1"/>
  <c r="H29" i="2" a="1"/>
  <c r="H29" i="2" s="1"/>
  <c r="L24" i="2" a="1"/>
  <c r="L24" i="2" s="1"/>
  <c r="K29" i="2" a="1"/>
  <c r="K29" i="2" s="1"/>
  <c r="S5" i="2"/>
  <c r="M96" i="2" l="1" a="1"/>
  <c r="M96" i="2" s="1"/>
  <c r="L96" i="2" a="1"/>
  <c r="L96" i="2" s="1"/>
  <c r="L97" i="2" s="1"/>
  <c r="K99" i="2" a="1"/>
  <c r="K99" i="2" s="1"/>
  <c r="N99" i="2" a="1"/>
  <c r="N99" i="2" s="1"/>
  <c r="K102" i="2" a="1"/>
  <c r="K102" i="2" s="1"/>
  <c r="K104" i="2" s="1"/>
  <c r="I96" i="2" a="1"/>
  <c r="I96" i="2" s="1"/>
  <c r="F99" i="2" a="1"/>
  <c r="F99" i="2" s="1"/>
  <c r="H96" i="2" a="1"/>
  <c r="H96" i="2" s="1"/>
  <c r="H99" i="2" s="1" a="1"/>
  <c r="H99" i="2" s="1"/>
  <c r="G96" i="2" a="1"/>
  <c r="G96" i="2" s="1"/>
  <c r="G97" i="2" s="1"/>
  <c r="F32" i="2" a="1"/>
  <c r="F32" i="2" s="1"/>
  <c r="H32" i="2" s="1" a="1"/>
  <c r="H32" i="2" s="1"/>
  <c r="I29" i="2" a="1"/>
  <c r="I29" i="2" s="1"/>
  <c r="I32" i="2" s="1" a="1"/>
  <c r="I32" i="2" s="1"/>
  <c r="G29" i="2" a="1"/>
  <c r="G29" i="2" s="1"/>
  <c r="G30" i="2" s="1"/>
  <c r="L29" i="2" a="1"/>
  <c r="L29" i="2" s="1"/>
  <c r="L30" i="2" s="1"/>
  <c r="K32" i="2" a="1"/>
  <c r="K32" i="2" s="1"/>
  <c r="M29" i="2" a="1"/>
  <c r="M29" i="2" s="1"/>
  <c r="N29" i="2" a="1"/>
  <c r="N29" i="2" s="1"/>
  <c r="F102" i="2" l="1" a="1"/>
  <c r="F102" i="2" s="1"/>
  <c r="H102" i="2" s="1" a="1"/>
  <c r="H102" i="2" s="1"/>
  <c r="I99" i="2" a="1"/>
  <c r="I99" i="2" s="1"/>
  <c r="I102" i="2" s="1" a="1"/>
  <c r="I102" i="2" s="1"/>
  <c r="G99" i="2" a="1"/>
  <c r="G99" i="2" s="1"/>
  <c r="G100" i="2" s="1"/>
  <c r="K109" i="2"/>
  <c r="K108" i="2"/>
  <c r="K107" i="2"/>
  <c r="K106" i="2"/>
  <c r="N102" i="2" a="1"/>
  <c r="N102" i="2" s="1"/>
  <c r="L99" i="2" a="1"/>
  <c r="L99" i="2" s="1"/>
  <c r="L100" i="2" s="1"/>
  <c r="M99" i="2" a="1"/>
  <c r="M99" i="2" s="1"/>
  <c r="M110" i="2" s="1" a="1"/>
  <c r="M110" i="2" s="1"/>
  <c r="K110" i="2" a="1"/>
  <c r="K110" i="2" s="1"/>
  <c r="N110" i="2" s="1" a="1"/>
  <c r="N110" i="2" s="1"/>
  <c r="M102" i="2" a="1"/>
  <c r="M102" i="2" s="1"/>
  <c r="F35" i="2" a="1"/>
  <c r="F35" i="2" s="1"/>
  <c r="H35" i="2" s="1" a="1"/>
  <c r="H35" i="2" s="1"/>
  <c r="M32" i="2" a="1"/>
  <c r="M32" i="2" s="1"/>
  <c r="G32" i="2" a="1"/>
  <c r="G32" i="2" s="1"/>
  <c r="G33" i="2" s="1"/>
  <c r="L32" i="2" a="1"/>
  <c r="L32" i="2" s="1"/>
  <c r="L33" i="2" s="1"/>
  <c r="N32" i="2" a="1"/>
  <c r="N32" i="2" s="1"/>
  <c r="K35" i="2" a="1"/>
  <c r="K35" i="2" s="1"/>
  <c r="I35" i="2" l="1" a="1"/>
  <c r="I35" i="2" s="1"/>
  <c r="F43" i="2" a="1"/>
  <c r="F43" i="2" s="1"/>
  <c r="H43" i="2" s="1" a="1"/>
  <c r="H43" i="2" s="1"/>
  <c r="L102" i="2" a="1"/>
  <c r="L102" i="2" s="1"/>
  <c r="L103" i="2" s="1"/>
  <c r="K105" i="2" a="1"/>
  <c r="K105" i="2" s="1"/>
  <c r="L105" i="2" s="1" a="1"/>
  <c r="L105" i="2" s="1"/>
  <c r="F110" i="2" a="1"/>
  <c r="F110" i="2" s="1"/>
  <c r="H110" i="2" s="1" a="1"/>
  <c r="H110" i="2" s="1"/>
  <c r="G102" i="2" a="1"/>
  <c r="G102" i="2" s="1"/>
  <c r="G103" i="2" s="1"/>
  <c r="G110" i="2" s="1" a="1"/>
  <c r="G110" i="2" s="1"/>
  <c r="G111" i="2" s="1"/>
  <c r="K37" i="2"/>
  <c r="G35" i="2" a="1"/>
  <c r="G35" i="2" s="1"/>
  <c r="G36" i="2" s="1"/>
  <c r="G43" i="2" a="1"/>
  <c r="G43" i="2" s="1"/>
  <c r="G44" i="2" s="1"/>
  <c r="I43" i="2" a="1"/>
  <c r="I43" i="2" s="1"/>
  <c r="L35" i="2" a="1"/>
  <c r="L35" i="2" s="1"/>
  <c r="L36" i="2" s="1"/>
  <c r="N35" i="2" a="1"/>
  <c r="N35" i="2" s="1"/>
  <c r="M35" i="2" a="1"/>
  <c r="M35" i="2" s="1"/>
  <c r="N105" i="2" l="1" a="1"/>
  <c r="N105" i="2" s="1"/>
  <c r="M105" i="2" a="1"/>
  <c r="M105" i="2" s="1"/>
  <c r="L110" i="2" a="1"/>
  <c r="L110" i="2" s="1"/>
  <c r="L111" i="2" s="1"/>
  <c r="I110" i="2" a="1"/>
  <c r="I110" i="2" s="1"/>
  <c r="K41" i="2"/>
  <c r="K42" i="2"/>
  <c r="K40" i="2"/>
  <c r="K39" i="2"/>
  <c r="K43" i="2" a="1"/>
  <c r="K43" i="2" s="1"/>
  <c r="M43" i="2" s="1" a="1"/>
  <c r="M43" i="2" s="1"/>
  <c r="L43" i="2" l="1" a="1"/>
  <c r="L43" i="2" s="1"/>
  <c r="L44" i="2" s="1"/>
  <c r="K38" i="2" a="1"/>
  <c r="K38" i="2" s="1"/>
  <c r="M38" i="2" s="1" a="1"/>
  <c r="M38" i="2" s="1"/>
  <c r="N43" i="2" a="1"/>
  <c r="N43" i="2" s="1"/>
  <c r="N38" i="2" l="1" a="1"/>
  <c r="N38" i="2" s="1"/>
  <c r="L38" i="2" a="1"/>
  <c r="L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tc={8B4EAA37-4F6E-4683-ACD1-08FB04C43455}</author>
    <author>tc={5708C348-F652-4EAB-8E0D-527E2A999635}</author>
  </authors>
  <commentList>
    <comment ref="C3" authorId="0" shapeId="0" xr:uid="{8B4EAA37-4F6E-4683-ACD1-08FB04C43455}">
      <text>
        <t>[Threaded comment]
Your version of Excel allows you to read this threaded comment; however, any edits to it will get removed if the file is opened in a newer version of Excel. Learn more: https://go.microsoft.com/fwlink/?linkid=870924
Comment:
    나중에 CLmax도 range 설정할 수 있게 수정하자</t>
      </text>
    </comment>
    <comment ref="E10" authorId="1" shapeId="0" xr:uid="{5708C348-F652-4EAB-8E0D-527E2A999635}">
      <text>
        <t>[Threaded comment]
Your version of Excel allows you to read this threaded comment; however, any edits to it will get removed if the file is opened in a newer version of Excel. Learn more: https://go.microsoft.com/fwlink/?linkid=870924
Comment:
    Alt_Ft 읽어서 자동으로 계산되도록 수정필요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<sst xmlns="http://schemas.openxmlformats.org/spreadsheetml/2006/main" count="548" uniqueCount="291">
  <si>
    <t>Design requirements</t>
  </si>
  <si>
    <t>acceleration</t>
  </si>
  <si>
    <t>turn rate</t>
  </si>
  <si>
    <t>max cruise speed</t>
  </si>
  <si>
    <t>climb rate</t>
  </si>
  <si>
    <t>time to climb to some altitude</t>
  </si>
  <si>
    <t>manuevering</t>
  </si>
  <si>
    <t>Stall speed sizing</t>
  </si>
  <si>
    <t>CLmax</t>
  </si>
  <si>
    <t>kts</t>
  </si>
  <si>
    <t>kg</t>
  </si>
  <si>
    <t>lbs</t>
  </si>
  <si>
    <t>Payload</t>
  </si>
  <si>
    <t>Range</t>
  </si>
  <si>
    <t>nm</t>
  </si>
  <si>
    <t>km</t>
  </si>
  <si>
    <t>CLmax_TO</t>
  </si>
  <si>
    <t>kg/m^3</t>
  </si>
  <si>
    <t>-</t>
  </si>
  <si>
    <t>m/s</t>
  </si>
  <si>
    <t>WL_TO (flaps down)</t>
  </si>
  <si>
    <t>WL_TO (flaps up)</t>
  </si>
  <si>
    <t>psf</t>
  </si>
  <si>
    <t>Stall speed (flaps up)</t>
  </si>
  <si>
    <t>Stall speed (flaps down)</t>
  </si>
  <si>
    <t>Vs0</t>
    <phoneticPr fontId="2" type="noConversion"/>
  </si>
  <si>
    <t>Vs1</t>
    <phoneticPr fontId="2" type="noConversion"/>
  </si>
  <si>
    <t>m/s</t>
    <phoneticPr fontId="2" type="noConversion"/>
  </si>
  <si>
    <t>kts</t>
    <phoneticPr fontId="2" type="noConversion"/>
  </si>
  <si>
    <t>Take-off distance sizing</t>
    <phoneticPr fontId="2" type="noConversion"/>
  </si>
  <si>
    <t>m</t>
    <phoneticPr fontId="2" type="noConversion"/>
  </si>
  <si>
    <t>ft</t>
    <phoneticPr fontId="2" type="noConversion"/>
  </si>
  <si>
    <t>Takeoff field length</t>
    <phoneticPr fontId="2" type="noConversion"/>
  </si>
  <si>
    <t>Takeoff ground roll distance</t>
    <phoneticPr fontId="2" type="noConversion"/>
  </si>
  <si>
    <t>MGTOW</t>
    <phoneticPr fontId="2" type="noConversion"/>
  </si>
  <si>
    <t>MGLW</t>
    <phoneticPr fontId="2" type="noConversion"/>
  </si>
  <si>
    <t>kg</t>
    <phoneticPr fontId="2" type="noConversion"/>
  </si>
  <si>
    <t>lbs</t>
    <phoneticPr fontId="2" type="noConversion"/>
  </si>
  <si>
    <t>Wind limits - Headwind</t>
    <phoneticPr fontId="2" type="noConversion"/>
  </si>
  <si>
    <t>Wind limits - Crosswind</t>
    <phoneticPr fontId="2" type="noConversion"/>
  </si>
  <si>
    <t>Wind limits - Tailwind</t>
    <phoneticPr fontId="2" type="noConversion"/>
  </si>
  <si>
    <t>Wind limits - Gust spread</t>
    <phoneticPr fontId="2" type="noConversion"/>
  </si>
  <si>
    <t>V approach (with flaps in landing cofiguration)</t>
    <phoneticPr fontId="2" type="noConversion"/>
  </si>
  <si>
    <t>Max descent rate at touchdown</t>
    <phoneticPr fontId="2" type="noConversion"/>
  </si>
  <si>
    <t>ft/s</t>
    <phoneticPr fontId="2" type="noConversion"/>
  </si>
  <si>
    <t>L/W at touchdown</t>
    <phoneticPr fontId="2" type="noConversion"/>
  </si>
  <si>
    <t>Service ceiling (MSL, STD)</t>
    <phoneticPr fontId="2" type="noConversion"/>
  </si>
  <si>
    <t>Service ceiling: best rate of climb in steady un-acclerated flight no longer exceeds 100 ftpm</t>
    <phoneticPr fontId="2" type="noConversion"/>
  </si>
  <si>
    <t>Minimum operational altitude (T)</t>
    <phoneticPr fontId="2" type="noConversion"/>
  </si>
  <si>
    <t>Minimum operational altitude (O)</t>
    <phoneticPr fontId="2" type="noConversion"/>
  </si>
  <si>
    <t>Level horizontal speed (minimum) (T)</t>
    <phoneticPr fontId="2" type="noConversion"/>
  </si>
  <si>
    <t>Level horizontal speed (minimum) (O)</t>
    <phoneticPr fontId="2" type="noConversion"/>
  </si>
  <si>
    <t>in level flight between 5,000-20,000 ft pressure altitude in clean wing configuration</t>
    <phoneticPr fontId="2" type="noConversion"/>
  </si>
  <si>
    <t>Internal payload weight capacity (T)</t>
    <phoneticPr fontId="2" type="noConversion"/>
  </si>
  <si>
    <t>Internal payload weight capacity (O)</t>
    <phoneticPr fontId="2" type="noConversion"/>
  </si>
  <si>
    <t>Fuel capacity</t>
    <phoneticPr fontId="2" type="noConversion"/>
  </si>
  <si>
    <t>Engine</t>
    <phoneticPr fontId="2" type="noConversion"/>
  </si>
  <si>
    <t>Rolls Royce M250 (504HP)</t>
    <phoneticPr fontId="2" type="noConversion"/>
  </si>
  <si>
    <t>HP</t>
    <phoneticPr fontId="2" type="noConversion"/>
  </si>
  <si>
    <t>Dash speed</t>
    <phoneticPr fontId="2" type="noConversion"/>
  </si>
  <si>
    <t>N/m^2</t>
    <phoneticPr fontId="2" type="noConversion"/>
  </si>
  <si>
    <t>kgf/m^2</t>
    <phoneticPr fontId="2" type="noConversion"/>
  </si>
  <si>
    <t>W_TO</t>
    <phoneticPr fontId="2" type="noConversion"/>
  </si>
  <si>
    <t>V_TO</t>
    <phoneticPr fontId="2" type="noConversion"/>
  </si>
  <si>
    <t>rho</t>
    <phoneticPr fontId="2" type="noConversion"/>
  </si>
  <si>
    <t>Air density</t>
    <phoneticPr fontId="2" type="noConversion"/>
  </si>
  <si>
    <t>Stall speed with flaps down</t>
    <phoneticPr fontId="2" type="noConversion"/>
  </si>
  <si>
    <t>Stall speed with flaps up</t>
    <phoneticPr fontId="2" type="noConversion"/>
  </si>
  <si>
    <t>Take-off weight</t>
    <phoneticPr fontId="2" type="noConversion"/>
  </si>
  <si>
    <t>Take-off speed (Lift-off speed)</t>
    <phoneticPr fontId="2" type="noConversion"/>
  </si>
  <si>
    <t>Thrust-to-weight ratio at take-off</t>
    <phoneticPr fontId="2" type="noConversion"/>
  </si>
  <si>
    <t>TW_TO</t>
    <phoneticPr fontId="2" type="noConversion"/>
  </si>
  <si>
    <t>Weight-to-power ratio at take-off</t>
    <phoneticPr fontId="2" type="noConversion"/>
  </si>
  <si>
    <t>WP_TO</t>
    <phoneticPr fontId="2" type="noConversion"/>
  </si>
  <si>
    <t>Aerodynamic drag coefficient</t>
    <phoneticPr fontId="2" type="noConversion"/>
  </si>
  <si>
    <t>CD_G</t>
    <phoneticPr fontId="2" type="noConversion"/>
  </si>
  <si>
    <t>Ground friction coefficient</t>
    <phoneticPr fontId="2" type="noConversion"/>
  </si>
  <si>
    <t>mu_G</t>
    <phoneticPr fontId="2" type="noConversion"/>
  </si>
  <si>
    <t>TOP_23 (S_TOG)</t>
    <phoneticPr fontId="2" type="noConversion"/>
  </si>
  <si>
    <t>TOP_23 (S_TO)</t>
    <phoneticPr fontId="2" type="noConversion"/>
  </si>
  <si>
    <t>lbs^2/ft^2hp</t>
    <phoneticPr fontId="2" type="noConversion"/>
  </si>
  <si>
    <t>Take-off parameter for FAR 23 Airplane</t>
    <phoneticPr fontId="2" type="noConversion"/>
  </si>
  <si>
    <t>sigma</t>
    <phoneticPr fontId="2" type="noConversion"/>
  </si>
  <si>
    <t>Air density ratio? (5000ft)</t>
    <phoneticPr fontId="2" type="noConversion"/>
  </si>
  <si>
    <t>-</t>
    <phoneticPr fontId="2" type="noConversion"/>
  </si>
  <si>
    <t>WL_TO (psf)</t>
    <phoneticPr fontId="2" type="noConversion"/>
  </si>
  <si>
    <t>PL_TO (lbs/hp)</t>
    <phoneticPr fontId="2" type="noConversion"/>
  </si>
  <si>
    <t>Takeoff altitude</t>
    <phoneticPr fontId="2" type="noConversion"/>
  </si>
  <si>
    <t>Take-off parameter for FAR 25 Airplane</t>
    <phoneticPr fontId="2" type="noConversion"/>
  </si>
  <si>
    <t>CLmax_PA</t>
  </si>
  <si>
    <t>Maximum lift coefficient with flaps up (clean)</t>
  </si>
  <si>
    <t>Maximum lift coefficient for landing</t>
  </si>
  <si>
    <t>Maximum lift coefficient for takeoff</t>
  </si>
  <si>
    <t>Mojave STOL</t>
  </si>
  <si>
    <t>Ground / 1000 ft</t>
  </si>
  <si>
    <t>short field 12 kts (T) / 15 kts (O)
normal field 20 kts</t>
  </si>
  <si>
    <t xml:space="preserve">Vstall=57/1.1 for GNC analysis; </t>
  </si>
  <si>
    <t>nominal paved runway 2000 ft
semi-prepared field stol 1000 ft
maritime 520 ft</t>
  </si>
  <si>
    <t>Takeoff field length (takeoff 50ft obstacle clearance)</t>
  </si>
  <si>
    <t>landing ground roll distance</t>
  </si>
  <si>
    <t>ft</t>
  </si>
  <si>
    <t>nominal paved runway 1730 ftsemin-prepared field STOL 730 ft
maritime 270 ft</t>
  </si>
  <si>
    <t xml:space="preserve">landing field length (landing 50 ft obstacle clearance) </t>
  </si>
  <si>
    <t>Takeoff</t>
  </si>
  <si>
    <t>K_TO</t>
  </si>
  <si>
    <t>mu</t>
  </si>
  <si>
    <t>lb</t>
  </si>
  <si>
    <t>kn</t>
  </si>
  <si>
    <t>m</t>
  </si>
  <si>
    <t>K_A</t>
  </si>
  <si>
    <t>m/s2</t>
  </si>
  <si>
    <t>N</t>
  </si>
  <si>
    <t>kg/m3</t>
  </si>
  <si>
    <t>Wing Area</t>
  </si>
  <si>
    <t>m2</t>
  </si>
  <si>
    <t>S_w_m2</t>
  </si>
  <si>
    <t>S_w_ft2</t>
  </si>
  <si>
    <t>ft2</t>
  </si>
  <si>
    <t>V_TO_mps</t>
  </si>
  <si>
    <t>rho_kgpm3</t>
  </si>
  <si>
    <t>g_mps2</t>
  </si>
  <si>
    <t>degC</t>
  </si>
  <si>
    <t>Flight Configuration</t>
  </si>
  <si>
    <t>Outside Air Temperature @ SL</t>
  </si>
  <si>
    <t>Altitude (ft MSL)</t>
  </si>
  <si>
    <t>Airspeed</t>
  </si>
  <si>
    <t>h_TO_ft</t>
  </si>
  <si>
    <t>T_TO_degC</t>
  </si>
  <si>
    <t>Mass Porperties</t>
  </si>
  <si>
    <t>Aircraft Configuration</t>
  </si>
  <si>
    <t>Aileron Droop</t>
  </si>
  <si>
    <t>deg</t>
  </si>
  <si>
    <t>Flap</t>
  </si>
  <si>
    <t>Max Gross Takeoff/Landing Weight</t>
  </si>
  <si>
    <t>MGW_kg</t>
  </si>
  <si>
    <t>MGW_lb</t>
  </si>
  <si>
    <t>dA</t>
  </si>
  <si>
    <t>dF</t>
  </si>
  <si>
    <t>V_stall_kn</t>
  </si>
  <si>
    <t>V_TO_kn</t>
  </si>
  <si>
    <t>Coeff1</t>
  </si>
  <si>
    <t>Coeff2</t>
  </si>
  <si>
    <t>0.04 for Rolling Unbraked Firm Dirt</t>
  </si>
  <si>
    <t>lbf</t>
  </si>
  <si>
    <t>K_T</t>
  </si>
  <si>
    <t>K_T = Thrust_N / W_kg - mu</t>
  </si>
  <si>
    <t>Stall Speed</t>
  </si>
  <si>
    <t>Dry concrete/asphalt</t>
  </si>
  <si>
    <t>Wet concrete/asphalt</t>
  </si>
  <si>
    <t>Icy concrete/asphalt</t>
  </si>
  <si>
    <t>Hard turf</t>
  </si>
  <si>
    <t>Firm dirt</t>
  </si>
  <si>
    <t>Soft turf</t>
  </si>
  <si>
    <t>Wet grass</t>
  </si>
  <si>
    <t>Brakes On</t>
  </si>
  <si>
    <t>0.03-0.05</t>
  </si>
  <si>
    <t>0.3-0.5</t>
  </si>
  <si>
    <t>0.15-0.30</t>
  </si>
  <si>
    <t>0.06-0.10</t>
  </si>
  <si>
    <t>Rolling 
(Unbraked)</t>
  </si>
  <si>
    <t>Ground Rolling Resistance</t>
  </si>
  <si>
    <t>MGW_N</t>
  </si>
  <si>
    <t>Flight Phase</t>
  </si>
  <si>
    <t>Multiflier</t>
  </si>
  <si>
    <t>CDo</t>
  </si>
  <si>
    <t>Max CL</t>
  </si>
  <si>
    <t>Thurst</t>
  </si>
  <si>
    <t>K = 1 / (PI * e * AR)</t>
  </si>
  <si>
    <t>MAC_ft</t>
  </si>
  <si>
    <t>MAC_m</t>
  </si>
  <si>
    <t>Aspect Ratio</t>
  </si>
  <si>
    <t>AR</t>
  </si>
  <si>
    <t>Wing Span</t>
  </si>
  <si>
    <t>b_w_ft</t>
  </si>
  <si>
    <t>b_w_m</t>
  </si>
  <si>
    <t>CL_max</t>
  </si>
  <si>
    <t>CDO</t>
  </si>
  <si>
    <t>Initial Speed</t>
  </si>
  <si>
    <t>Gravitation Acceleration</t>
  </si>
  <si>
    <t>Rolling Coefficient</t>
  </si>
  <si>
    <t>Air Density</t>
  </si>
  <si>
    <t>Chord Length</t>
  </si>
  <si>
    <t>Induced Drag Coefficient</t>
  </si>
  <si>
    <t>Final Speed</t>
  </si>
  <si>
    <t>Vi_mps</t>
  </si>
  <si>
    <t>Vf_mps</t>
  </si>
  <si>
    <t>2.8 for aileron droop; 2.66 for no aileron</t>
  </si>
  <si>
    <t>CL</t>
  </si>
  <si>
    <t>CL_max*V_stall^2 = CL*(1.1*V_stall)^2; CL=CL_max/(1.1)^2</t>
  </si>
  <si>
    <t>K_A = rho/(2*W_N/S_w_m2*(-Cdo -K*CL^2 +mu*CL)</t>
  </si>
  <si>
    <t>Landing</t>
  </si>
  <si>
    <t>Takeoff
Semi-prepared (Firm Dirt)</t>
  </si>
  <si>
    <t>Takeoff
Semi-perpared (Firm Dirt)</t>
  </si>
  <si>
    <t>Landing
Semi-prepared (Firm Dirt)</t>
  </si>
  <si>
    <t>Landing
Semi-perpared (Firm Dirt)</t>
  </si>
  <si>
    <t>S_G_m</t>
  </si>
  <si>
    <t>S_G_ft</t>
  </si>
  <si>
    <t>F1</t>
  </si>
  <si>
    <t>F0</t>
  </si>
  <si>
    <t>Drag</t>
  </si>
  <si>
    <t>Reverse Thrust</t>
  </si>
  <si>
    <t>TR_N</t>
  </si>
  <si>
    <t>T_lbf</t>
  </si>
  <si>
    <t>T_N</t>
  </si>
  <si>
    <t>D_N</t>
  </si>
  <si>
    <t>F_0_N</t>
  </si>
  <si>
    <t>F_1_N</t>
  </si>
  <si>
    <t>Ground Roll Distance (Pamadi)</t>
  </si>
  <si>
    <t>Ground Roll Distance (Raymer)</t>
  </si>
  <si>
    <t>Taxi</t>
  </si>
  <si>
    <t>Climb</t>
  </si>
  <si>
    <t>Ingress</t>
  </si>
  <si>
    <t>Loiter</t>
  </si>
  <si>
    <t>Egress</t>
  </si>
  <si>
    <t>Descent</t>
  </si>
  <si>
    <t>Land</t>
  </si>
  <si>
    <t>V_stall_mps</t>
  </si>
  <si>
    <t>V_mps</t>
  </si>
  <si>
    <t>V_kn</t>
  </si>
  <si>
    <t>h_ft</t>
  </si>
  <si>
    <t>T_degC</t>
  </si>
  <si>
    <t>K</t>
  </si>
  <si>
    <t>Notes</t>
  </si>
  <si>
    <t>MOJAVE STOL Aircraft</t>
  </si>
  <si>
    <t>Structure</t>
  </si>
  <si>
    <t>Wing</t>
  </si>
  <si>
    <t>Tail</t>
  </si>
  <si>
    <t>Fuselage</t>
  </si>
  <si>
    <t>Landing Gear</t>
  </si>
  <si>
    <t>Nose</t>
  </si>
  <si>
    <t>Main, RH</t>
  </si>
  <si>
    <t>Main, LH</t>
  </si>
  <si>
    <t>Propulsion</t>
  </si>
  <si>
    <t>Propulsion System</t>
  </si>
  <si>
    <t>Fuel System (dry)</t>
  </si>
  <si>
    <t>System &amp; Equipment</t>
  </si>
  <si>
    <t>Cables</t>
  </si>
  <si>
    <t>Avionics</t>
  </si>
  <si>
    <t>Air Data</t>
  </si>
  <si>
    <t>FWD Payload Bay</t>
  </si>
  <si>
    <t>FWD Avionics Bay</t>
  </si>
  <si>
    <t>AFT Avionics Bay</t>
  </si>
  <si>
    <t>Antennas</t>
  </si>
  <si>
    <t>Weight Empty</t>
  </si>
  <si>
    <t>Fixed Usefule Load</t>
  </si>
  <si>
    <t>Engine Oil</t>
  </si>
  <si>
    <t>Fixed Mission System Payloads</t>
  </si>
  <si>
    <t>Basic Weight</t>
  </si>
  <si>
    <t>AWI Fluid</t>
  </si>
  <si>
    <t>Operating Weight</t>
  </si>
  <si>
    <t>Unusable fuel</t>
  </si>
  <si>
    <t>Empty Fuel Weight</t>
  </si>
  <si>
    <t>Usable Fuel</t>
  </si>
  <si>
    <t>Gross Take-off Weight</t>
  </si>
  <si>
    <t>Weight, lb.</t>
  </si>
  <si>
    <t>Y CG
(in)</t>
  </si>
  <si>
    <t>X CG
(in)</t>
  </si>
  <si>
    <t>Z CG
(in)</t>
  </si>
  <si>
    <t>ARMY RSTA (Block 0)</t>
  </si>
  <si>
    <t>ROK RSTA (Block 0)</t>
  </si>
  <si>
    <t>Lv</t>
  </si>
  <si>
    <t>Fuselage fuel</t>
  </si>
  <si>
    <t>Wing fuel</t>
  </si>
  <si>
    <t>Fwd Fuselage Tank</t>
  </si>
  <si>
    <t>Aft Fuselage Tank</t>
  </si>
  <si>
    <t>Wing Fuel Tank</t>
  </si>
  <si>
    <t>Mid Fuselage (Header) Tank</t>
  </si>
  <si>
    <t>(Usable Fuel Estimate)</t>
  </si>
  <si>
    <t>Shift Aft</t>
  </si>
  <si>
    <t xml:space="preserve">Ballast     </t>
  </si>
  <si>
    <t>1594 lb</t>
  </si>
  <si>
    <t>1035 lb</t>
  </si>
  <si>
    <t>Fwd</t>
  </si>
  <si>
    <t>Mid</t>
  </si>
  <si>
    <t>Aft</t>
  </si>
  <si>
    <t>134.3 gallon</t>
  </si>
  <si>
    <t>68.3 gallon</t>
  </si>
  <si>
    <t>34.0 gallon</t>
  </si>
  <si>
    <t>PDR-05-01-2026-Gear-Down</t>
  </si>
  <si>
    <t>Rev-06-01-2026-Gear-Down</t>
  </si>
  <si>
    <t>First Flight - T1 (GD / PDR)</t>
  </si>
  <si>
    <t>First Flight - T1 (GD / Post-PDR)</t>
  </si>
  <si>
    <t>First Flight - T1 (GU / PDR)</t>
  </si>
  <si>
    <t>First Flight - T1 (GU / Post-PDR)</t>
  </si>
  <si>
    <t>e</t>
  </si>
  <si>
    <t>Oswald Efficiency</t>
  </si>
  <si>
    <t>F_0 = T - mu*W for Takeoff; F_0 = TR + mu*W for Landing</t>
  </si>
  <si>
    <t>F_1 = T - D for Takeoff; F_1 = TR + D for Landing</t>
  </si>
  <si>
    <t>S_G = 1/(2*g*K_A) * ln((K_T+K_A*Vf^2)/(K_T+K_A*Vi^2))</t>
  </si>
  <si>
    <t>S_G = W/(2*g)*V^2/(F_0-F_1) * ln(F_0/F_1)</t>
  </si>
  <si>
    <t>Induced Drag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</si>
</sst>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"/>
    <numFmt numFmtId="167" formatCode="0.0E+00"/>
    <numFmt numFmtId="171" formatCode="#,##0.0"/>
    <numFmt numFmtId="173" formatCode="0.0&quot; % MAC&quot;"/>
  </numFmts>
  <fonts count="6" x14ac:knownFonts="1">
    <font>
      <sz val="11"/>
      <color theme="1"/>
      <name val="Aptos Narrow"/>
      <family val="2"/>
      <charset val="129"/>
      <scheme val="minor"/>
    </font>
    <font>
      <sz val="11"/>
      <color theme="1"/>
      <name val="Calibri"/>
      <family val="2"/>
    </font>
    <font>
      <sz val="8"/>
      <name val="Aptos Narrow"/>
      <family val="2"/>
      <charset val="129"/>
      <scheme val="minor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71" fontId="1" fillId="4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71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71" fontId="1" fillId="0" borderId="0" xfId="0" applyNumberFormat="1" applyFont="1" applyAlignment="1">
      <alignment vertical="center"/>
    </xf>
    <xf numFmtId="171" fontId="3" fillId="2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173" fontId="5" fillId="2" borderId="1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71" fontId="1" fillId="4" borderId="13" xfId="0" applyNumberFormat="1" applyFont="1" applyFill="1" applyBorder="1" applyAlignment="1">
      <alignment vertical="center"/>
    </xf>
    <xf numFmtId="164" fontId="1" fillId="4" borderId="14" xfId="0" applyNumberFormat="1" applyFont="1" applyFill="1" applyBorder="1" applyAlignment="1">
      <alignment vertical="center"/>
    </xf>
    <xf numFmtId="171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71" fontId="1" fillId="0" borderId="13" xfId="0" applyNumberFormat="1" applyFont="1" applyFill="1" applyBorder="1" applyAlignment="1">
      <alignment vertical="center"/>
    </xf>
    <xf numFmtId="164" fontId="1" fillId="0" borderId="14" xfId="0" applyNumberFormat="1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164" fontId="1" fillId="0" borderId="16" xfId="0" applyNumberFormat="1" applyFont="1" applyBorder="1" applyAlignment="1">
      <alignment vertical="center"/>
    </xf>
    <xf numFmtId="171" fontId="3" fillId="2" borderId="13" xfId="0" applyNumberFormat="1" applyFont="1" applyFill="1" applyBorder="1" applyAlignment="1">
      <alignment vertical="center"/>
    </xf>
    <xf numFmtId="164" fontId="3" fillId="2" borderId="14" xfId="0" applyNumberFormat="1" applyFont="1" applyFill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71" fontId="3" fillId="2" borderId="14" xfId="0" applyNumberFormat="1" applyFont="1" applyFill="1" applyBorder="1" applyAlignment="1">
      <alignment vertical="center"/>
    </xf>
    <xf numFmtId="171" fontId="1" fillId="2" borderId="13" xfId="0" applyNumberFormat="1" applyFont="1" applyFill="1" applyBorder="1" applyAlignment="1">
      <alignment vertical="center"/>
    </xf>
    <xf numFmtId="171" fontId="1" fillId="2" borderId="14" xfId="0" applyNumberFormat="1" applyFont="1" applyFill="1" applyBorder="1" applyAlignment="1">
      <alignment vertical="center"/>
    </xf>
    <xf numFmtId="171" fontId="1" fillId="0" borderId="14" xfId="0" applyNumberFormat="1" applyFont="1" applyBorder="1" applyAlignment="1">
      <alignment vertical="center"/>
    </xf>
    <xf numFmtId="171" fontId="1" fillId="7" borderId="13" xfId="0" applyNumberFormat="1" applyFont="1" applyFill="1" applyBorder="1" applyAlignment="1">
      <alignment vertical="center"/>
    </xf>
    <xf numFmtId="164" fontId="1" fillId="7" borderId="14" xfId="0" applyNumberFormat="1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173" fontId="5" fillId="2" borderId="18" xfId="0" applyNumberFormat="1" applyFont="1" applyFill="1" applyBorder="1" applyAlignment="1">
      <alignment vertical="center"/>
    </xf>
    <xf numFmtId="171" fontId="3" fillId="2" borderId="18" xfId="0" applyNumberFormat="1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164" fontId="4" fillId="8" borderId="13" xfId="0" applyNumberFormat="1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1" fillId="4" borderId="27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28" xfId="0" applyFont="1" applyFill="1" applyBorder="1" applyAlignment="1">
      <alignment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1" fontId="1" fillId="8" borderId="13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MAC vs. Weight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07527118550741"/>
          <c:y val="0.17808547008547013"/>
          <c:w val="0.84042131097249206"/>
          <c:h val="0.67038185611413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Weight!$F$3</c:f>
              <c:strCache>
                <c:ptCount val="1"/>
                <c:pt idx="0">
                  <c:v>First Flight - T1 (GD / PDR)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(Weight!$G$36,Weight!$G$44)</c:f>
              <c:numCache>
                <c:formatCode>0.0" % MAC"</c:formatCode>
                <c:ptCount val="2"/>
                <c:pt idx="0">
                  <c:v>39.589036251105178</c:v>
                </c:pt>
                <c:pt idx="1">
                  <c:v>39.941180112096788</c:v>
                </c:pt>
              </c:numCache>
            </c:numRef>
          </c:xVal>
          <c:yVal>
            <c:numRef>
              <c:f>(Weight!$F$35,Weight!$F$43)</c:f>
              <c:numCache>
                <c:formatCode>#,##0.0</c:formatCode>
                <c:ptCount val="2"/>
                <c:pt idx="0">
                  <c:v>4712.5</c:v>
                </c:pt>
                <c:pt idx="1">
                  <c:v>6999.9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6-434F-B653-7CED4F220F37}"/>
            </c:ext>
          </c:extLst>
        </c:ser>
        <c:ser>
          <c:idx val="1"/>
          <c:order val="1"/>
          <c:tx>
            <c:strRef>
              <c:f>Weight!$K$3</c:f>
              <c:strCache>
                <c:ptCount val="1"/>
                <c:pt idx="0">
                  <c:v>First Flight - T1 (GD / Post-PDR)</c:v>
                </c:pt>
              </c:strCache>
            </c:strRef>
          </c:tx>
          <c:spPr>
            <a:ln w="19050" cap="rnd">
              <a:solidFill>
                <a:srgbClr val="55E9F9"/>
              </a:solidFill>
              <a:round/>
            </a:ln>
            <a:effectLst/>
          </c:spPr>
          <c:marker>
            <c:symbol val="none"/>
          </c:marker>
          <c:xVal>
            <c:numRef>
              <c:f>(Weight!$L$36,Weight!$L$44)</c:f>
              <c:numCache>
                <c:formatCode>0.0" % MAC"</c:formatCode>
                <c:ptCount val="2"/>
                <c:pt idx="0">
                  <c:v>40.752396338179814</c:v>
                </c:pt>
                <c:pt idx="1">
                  <c:v>39.965755952380938</c:v>
                </c:pt>
              </c:numCache>
            </c:numRef>
          </c:xVal>
          <c:yVal>
            <c:numRef>
              <c:f>(Weight!$K$35,Weight!$K$43)</c:f>
              <c:numCache>
                <c:formatCode>#,##0.0</c:formatCode>
                <c:ptCount val="2"/>
                <c:pt idx="0">
                  <c:v>4642.5</c:v>
                </c:pt>
                <c:pt idx="1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6-434F-B653-7CED4F220F37}"/>
            </c:ext>
          </c:extLst>
        </c:ser>
        <c:ser>
          <c:idx val="2"/>
          <c:order val="2"/>
          <c:tx>
            <c:strRef>
              <c:f>Weight!$F$70</c:f>
              <c:strCache>
                <c:ptCount val="1"/>
                <c:pt idx="0">
                  <c:v>First Flight - T1 (GU / PDR)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(Weight!$G$103,Weight!$G$111)</c:f>
              <c:numCache>
                <c:formatCode>0.0" % MAC"</c:formatCode>
                <c:ptCount val="2"/>
                <c:pt idx="0">
                  <c:v>47.728664898320019</c:v>
                </c:pt>
                <c:pt idx="1">
                  <c:v>45.420972680562002</c:v>
                </c:pt>
              </c:numCache>
            </c:numRef>
          </c:xVal>
          <c:yVal>
            <c:numRef>
              <c:f>(Weight!$F$102,Weight!$F$110)</c:f>
              <c:numCache>
                <c:formatCode>#,##0.0</c:formatCode>
                <c:ptCount val="2"/>
                <c:pt idx="0">
                  <c:v>4712.5</c:v>
                </c:pt>
                <c:pt idx="1">
                  <c:v>6999.9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6-434F-B653-7CED4F220F37}"/>
            </c:ext>
          </c:extLst>
        </c:ser>
        <c:ser>
          <c:idx val="3"/>
          <c:order val="3"/>
          <c:tx>
            <c:strRef>
              <c:f>Weight!$K$70</c:f>
              <c:strCache>
                <c:ptCount val="1"/>
                <c:pt idx="0">
                  <c:v>First Flight - T1 (GU / Post-PDR)</c:v>
                </c:pt>
              </c:strCache>
            </c:strRef>
          </c:tx>
          <c:spPr>
            <a:ln w="19050" cap="rnd">
              <a:solidFill>
                <a:srgbClr val="55E9F9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(Weight!$L$103,Weight!$L$111)</c:f>
              <c:numCache>
                <c:formatCode>0.0" % MAC"</c:formatCode>
                <c:ptCount val="2"/>
                <c:pt idx="0">
                  <c:v>49.014754981152372</c:v>
                </c:pt>
                <c:pt idx="1">
                  <c:v>45.44547023809524</c:v>
                </c:pt>
              </c:numCache>
            </c:numRef>
          </c:xVal>
          <c:yVal>
            <c:numRef>
              <c:f>(Weight!$K$102,Weight!$K$110)</c:f>
              <c:numCache>
                <c:formatCode>#,##0.0</c:formatCode>
                <c:ptCount val="2"/>
                <c:pt idx="0">
                  <c:v>4642.5</c:v>
                </c:pt>
                <c:pt idx="1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56-434F-B653-7CED4F220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069871"/>
        <c:axId val="1855900463"/>
      </c:scatterChart>
      <c:valAx>
        <c:axId val="446069871"/>
        <c:scaling>
          <c:orientation val="minMax"/>
          <c:max val="53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0463"/>
        <c:crosses val="autoZero"/>
        <c:crossBetween val="midCat"/>
        <c:majorUnit val="2"/>
        <c:minorUnit val="2"/>
      </c:valAx>
      <c:valAx>
        <c:axId val="18559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Wieght,</a:t>
                </a:r>
                <a:r>
                  <a:rPr lang="en-US" b="1" baseline="0"/>
                  <a:t> lb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2076000060221919E-2"/>
              <c:y val="0.43204549431321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6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1758705830987187"/>
          <c:y val="0.19087314085739282"/>
          <c:w val="0.31333810090182318"/>
          <c:h val="0.308542701393095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254000</xdr:colOff>
      <xdr:row>2</xdr:row>
      <xdr:rowOff>25400</xdr:rowOff>
    </xdr:from>
    <xdr:ext cx="1080167" cy="318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7C7BC0-BD44-7C4B-68F1-25639A8996F0}"/>
                </a:ext>
              </a:extLst>
            </xdr:cNvPr>
            <xdr:cNvSpPr txBox="1"/>
          </xdr:nvSpPr>
          <xdr:spPr>
            <a:xfrm>
              <a:off x="8553450" y="393700"/>
              <a:ext cx="108016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den>
                    </m:f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𝜌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7C7BC0-BD44-7C4B-68F1-25639A8996F0}"/>
                </a:ext>
              </a:extLst>
            </xdr:cNvPr>
            <xdr:cNvSpPr txBox="1"/>
          </xdr:nvSpPr>
          <xdr:spPr>
            <a:xfrm>
              <a:off x="8553450" y="393700"/>
              <a:ext cx="108016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𝑊/𝑆=1/2 𝜌𝑉_𝑠^2 𝐶_(𝐿,𝑚𝑎𝑥)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13</xdr:col>
      <xdr:colOff>361950</xdr:colOff>
      <xdr:row>9</xdr:row>
      <xdr:rowOff>50800</xdr:rowOff>
    </xdr:from>
    <xdr:ext cx="2415598" cy="898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6F9E15-ADC9-4F6E-B297-D7EAA63AD3DF}"/>
                </a:ext>
              </a:extLst>
            </xdr:cNvPr>
            <xdr:cNvSpPr txBox="1"/>
          </xdr:nvSpPr>
          <xdr:spPr>
            <a:xfrm>
              <a:off x="11950700" y="170815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∝</m:t>
                    </m:r>
                    <m:f>
                      <m:f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num>
                      <m:den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𝑚𝑎𝑥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den>
                    </m:f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23</m:t>
                        </m:r>
                      </m:sub>
                    </m:sSub>
                  </m:oMath>
                </m:oMathPara>
              </a14:m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=4.9(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23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)+0.009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=1.66</m:t>
                    </m:r>
                    <m:d>
                      <m:d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𝑇𝑂𝐺</m:t>
                            </m:r>
                          </m:sub>
                        </m:sSub>
                      </m:e>
                    </m:d>
                  </m:oMath>
                  <m:oMath xmlns:m="http://schemas.openxmlformats.org/officeDocument/2006/math">
                    <m:sSub>
                      <m:sSub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</m:sub>
                    </m:sSub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=8.134</m:t>
                    </m:r>
                    <m:d>
                      <m:d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  <m:sSub>
                          <m:sSub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23</m:t>
                            </m:r>
                          </m:sub>
                        </m:sSub>
                      </m:e>
                    </m:d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+0.0149</m:t>
                    </m:r>
                    <m:sSup>
                      <m:sSup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6F9E15-ADC9-4F6E-B297-D7EAA63AD3DF}"/>
                </a:ext>
              </a:extLst>
            </xdr:cNvPr>
            <xdr:cNvSpPr txBox="1"/>
          </xdr:nvSpPr>
          <xdr:spPr>
            <a:xfrm>
              <a:off x="11950700" y="170815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𝑆_𝑇𝑂𝐺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∝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((𝑊/𝑆)_𝑇𝑂 (𝑊/𝑃)_𝑇𝑂)/(𝜎𝐶_(𝐿,𝑚𝑎𝑥,𝑇𝑂) )=𝑇𝑂𝑃_23</a:t>
              </a:r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𝑆_𝑇𝑂𝐺=4.9(𝑇𝑂𝑃_23)+0.009(𝑇𝑂𝑃_23 )^2</a:t>
              </a:r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=1.66(𝑆_𝑇𝑂𝐺 )</a:t>
              </a:r>
              <a:br>
                <a:rPr lang="en-US" altLang="ko-KR">
                  <a:effectLst/>
                </a:rPr>
              </a:br>
              <a:r>
                <a:rPr lang="en-US" altLang="ko-KR" b="0" i="0">
                  <a:effectLst/>
                  <a:latin typeface="Cambria Math" panose="02040503050406030204" pitchFamily="18" charset="0"/>
                </a:rPr>
                <a:t>𝑆_𝑇𝑂=8.134(𝑇𝑂𝑃_23 )+0.0149(𝑇𝑂𝑃_23 )^2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  <xdr:oneCellAnchor>
    <xdr:from>
      <xdr:col>13</xdr:col>
      <xdr:colOff>444500</xdr:colOff>
      <xdr:row>16</xdr:row>
      <xdr:rowOff>50800</xdr:rowOff>
    </xdr:from>
    <xdr:ext cx="2415598" cy="898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DBC19E1-7E96-4F9A-96B8-C1288AE36C12}"/>
                </a:ext>
              </a:extLst>
            </xdr:cNvPr>
            <xdr:cNvSpPr txBox="1"/>
          </xdr:nvSpPr>
          <xdr:spPr>
            <a:xfrm>
              <a:off x="12033250" y="299720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∝</m:t>
                    </m:r>
                    <m:f>
                      <m:f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num>
                      <m:den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𝑚𝑎𝑥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den>
                    </m:f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23</m:t>
                        </m:r>
                      </m:sub>
                    </m:sSub>
                  </m:oMath>
                </m:oMathPara>
              </a14:m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=4.9(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23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)+0.009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=1.66</m:t>
                    </m:r>
                    <m:d>
                      <m:d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𝑇𝑂𝐺</m:t>
                            </m:r>
                          </m:sub>
                        </m:sSub>
                      </m:e>
                    </m:d>
                  </m:oMath>
                  <m:oMath xmlns:m="http://schemas.openxmlformats.org/officeDocument/2006/math">
                    <m:sSub>
                      <m:sSub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</m:sub>
                    </m:sSub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=8.134</m:t>
                    </m:r>
                    <m:d>
                      <m:d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  <m:sSub>
                          <m:sSub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23</m:t>
                            </m:r>
                          </m:sub>
                        </m:sSub>
                      </m:e>
                    </m:d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+0.0149</m:t>
                    </m:r>
                    <m:sSup>
                      <m:sSup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DBC19E1-7E96-4F9A-96B8-C1288AE36C12}"/>
                </a:ext>
              </a:extLst>
            </xdr:cNvPr>
            <xdr:cNvSpPr txBox="1"/>
          </xdr:nvSpPr>
          <xdr:spPr>
            <a:xfrm>
              <a:off x="12033250" y="299720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𝑆_𝑇𝑂𝐺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∝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((𝑊/𝑆)_𝑇𝑂 (𝑇/𝑊)_𝑇𝑂)/(𝜎𝐶_(𝐿,𝑚𝑎𝑥,𝑇𝑂) )=𝑇𝑂𝑃_23</a:t>
              </a:r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𝑆_𝑇𝑂𝐺=4.9(𝑇𝑂𝑃_23)+0.009(𝑇𝑂𝑃_23 )^2</a:t>
              </a:r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=1.66(𝑆_𝑇𝑂𝐺 )</a:t>
              </a:r>
              <a:br>
                <a:rPr lang="en-US" altLang="ko-KR">
                  <a:effectLst/>
                </a:rPr>
              </a:br>
              <a:r>
                <a:rPr lang="en-US" altLang="ko-KR" b="0" i="0">
                  <a:effectLst/>
                  <a:latin typeface="Cambria Math" panose="02040503050406030204" pitchFamily="18" charset="0"/>
                </a:rPr>
                <a:t>𝑆_𝑇𝑂=8.134(𝑇𝑂𝑃_23 )+0.0149(𝑇𝑂𝑃_23 )^2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45</xdr:row>
      <xdr:rowOff>152400</xdr:rowOff>
    </xdr:from>
    <xdr:to>
      <xdr:col>18</xdr:col>
      <xdr:colOff>571500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B8159-26D6-59DA-C204-6D9A35767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0.56244</cdr:x>
      <cdr:y>0.17778</cdr:y>
    </cdr:from>
    <cdr:to>
      <cdr:x>0.56244</cdr:x>
      <cdr:y>0.8431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5FB42FE-0E77-BC74-26F7-09BAFE389F1A}"/>
            </a:ext>
          </a:extLst>
        </cdr:cNvPr>
        <cdr:cNvCxnSpPr/>
      </cdr:nvCxnSpPr>
      <cdr:spPr>
        <a:xfrm xmlns:a="http://schemas.openxmlformats.org/drawingml/2006/main">
          <a:off x="3575050" y="660400"/>
          <a:ext cx="0" cy="2471513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0.47153</cdr:x>
      <cdr:y>0.10085</cdr:y>
    </cdr:from>
    <cdr:to>
      <cdr:x>0.67932</cdr:x>
      <cdr:y>0.17094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4EAB8F5-3464-2CAE-7C1C-5E7E647B328C}"/>
            </a:ext>
          </a:extLst>
        </cdr:cNvPr>
        <cdr:cNvSpPr txBox="1"/>
      </cdr:nvSpPr>
      <cdr:spPr>
        <a:xfrm xmlns:a="http://schemas.openxmlformats.org/drawingml/2006/main">
          <a:off x="2997200" y="374650"/>
          <a:ext cx="1320800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Ground, AFT, 40.0%</a:t>
          </a:r>
        </a:p>
      </cdr:txBody>
    </cdr:sp>
  </cdr:relSizeAnchor>
  <cdr:relSizeAnchor xmlns:cdr="http://schemas.openxmlformats.org/drawingml/2006/chartDrawing">
    <cdr:from>
      <cdr:x>0.8022</cdr:x>
      <cdr:y>0.18291</cdr:y>
    </cdr:from>
    <cdr:to>
      <cdr:x>0.8022</cdr:x>
      <cdr:y>0.84823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F87E40AA-DF03-EA71-23DD-E29E10B8EDA4}"/>
            </a:ext>
          </a:extLst>
        </cdr:cNvPr>
        <cdr:cNvCxnSpPr/>
      </cdr:nvCxnSpPr>
      <cdr:spPr>
        <a:xfrm xmlns:a="http://schemas.openxmlformats.org/drawingml/2006/main">
          <a:off x="5099050" y="679450"/>
          <a:ext cx="0" cy="2471513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lgDash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0.6983</cdr:x>
      <cdr:y>0.10598</cdr:y>
    </cdr:from>
    <cdr:to>
      <cdr:x>0.90609</cdr:x>
      <cdr:y>0.17607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88492D8-B82C-3232-74DF-EE271D173E18}"/>
            </a:ext>
          </a:extLst>
        </cdr:cNvPr>
        <cdr:cNvSpPr txBox="1"/>
      </cdr:nvSpPr>
      <cdr:spPr>
        <a:xfrm xmlns:a="http://schemas.openxmlformats.org/drawingml/2006/main">
          <a:off x="4438650" y="393700"/>
          <a:ext cx="1320800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Neutral</a:t>
          </a:r>
          <a:r>
            <a:rPr lang="en-US" sz="1100" kern="1200" baseline="0"/>
            <a:t> Point 48.0 %</a:t>
          </a:r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ehwan Park" id="{D8BA67B6-BC8B-4FBB-A014-CC2E51D1C7D0}" userId="2a91093fbf50c22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4-18T17:59:13.12" personId="{D8BA67B6-BC8B-4FBB-A014-CC2E51D1C7D0}" id="{8B4EAA37-4F6E-4683-ACD1-08FB04C43455}">
    <text>나중에 CLmax도 range 설정할 수 있게 수정하자</text>
  </threadedComment>
  <threadedComment ref="E10" dT="2026-04-18T17:59:40.69" personId="{D8BA67B6-BC8B-4FBB-A014-CC2E51D1C7D0}" id="{5708C348-F652-4EAB-8E0D-527E2A999635}">
    <text>Alt_Ft 읽어서 자동으로 계산되도록 수정필요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AB92-3D2F-40CB-A982-2BD3DCB260A2}">
  <dimension ref="A2:I45"/>
  <sheetViews>
    <sheetView workbookViewId="0">
      <selection activeCell="E8" sqref="E8"/>
    </sheetView>
  </sheetViews>
  <sheetFormatPr defaultColWidth="8.7265625" defaultRowHeight="14.5" x14ac:dyDescent="0.25"/>
  <cols>
    <col min="1" max="1" width="8.7265625" style="5"/>
    <col min="2" max="2" width="39.7265625" style="5" bestFit="1" customWidth="1"/>
    <col min="3" max="3" width="3.453125" style="5" bestFit="1" customWidth="1"/>
    <col min="4" max="4" width="8.7265625" style="5"/>
    <col min="5" max="5" width="31.36328125" style="5" customWidth="1"/>
    <col min="6" max="6" width="20" style="5" bestFit="1" customWidth="1"/>
    <col min="7" max="7" width="4.1796875" style="5" bestFit="1" customWidth="1"/>
    <col min="8" max="16384" width="8.7265625" style="5"/>
  </cols>
  <sheetData>
    <row r="2" spans="1:8" x14ac:dyDescent="0.25">
      <c r="A2" s="5" t="s">
        <v>0</v>
      </c>
      <c r="E2" s="5" t="s">
        <v>93</v>
      </c>
    </row>
    <row r="3" spans="1:8" x14ac:dyDescent="0.25">
      <c r="B3" s="5" t="s">
        <v>12</v>
      </c>
      <c r="C3" s="5" t="s">
        <v>10</v>
      </c>
      <c r="E3" s="6"/>
      <c r="F3" s="5" t="s">
        <v>12</v>
      </c>
      <c r="G3" s="5" t="s">
        <v>10</v>
      </c>
      <c r="H3" s="5">
        <f>IF($D$3&lt;&gt;"",$D$3,$D$4*CONVERT(1,"lbm","kg"))</f>
        <v>1043.2624510000001</v>
      </c>
    </row>
    <row r="4" spans="1:8" x14ac:dyDescent="0.25">
      <c r="C4" s="5" t="s">
        <v>11</v>
      </c>
      <c r="D4" s="5">
        <v>2300</v>
      </c>
      <c r="G4" s="5" t="s">
        <v>11</v>
      </c>
      <c r="H4" s="6">
        <f>IF($D$4&lt;&gt;"",$D$4, $D$3*CONVERT(1,"kg","lbm"))</f>
        <v>2300</v>
      </c>
    </row>
    <row r="5" spans="1:8" x14ac:dyDescent="0.25">
      <c r="B5" s="5" t="s">
        <v>13</v>
      </c>
      <c r="C5" s="5" t="s">
        <v>15</v>
      </c>
      <c r="D5" s="5">
        <v>100</v>
      </c>
      <c r="F5" s="5" t="s">
        <v>13</v>
      </c>
      <c r="G5" s="5" t="s">
        <v>15</v>
      </c>
      <c r="H5" s="5">
        <f>IF($D$5&lt;&gt;"",$D$5,$D$6*CONVERT(1,"Nmi","km"))</f>
        <v>100</v>
      </c>
    </row>
    <row r="6" spans="1:8" x14ac:dyDescent="0.25">
      <c r="C6" s="5" t="s">
        <v>14</v>
      </c>
      <c r="G6" s="5" t="s">
        <v>14</v>
      </c>
      <c r="H6" s="6">
        <f>IF($D$4&lt;&gt;"",$D$4, $D$3*CONVERT(1,"km","Nmi"))</f>
        <v>2300</v>
      </c>
    </row>
    <row r="7" spans="1:8" x14ac:dyDescent="0.25">
      <c r="B7" s="5" t="s">
        <v>24</v>
      </c>
      <c r="C7" s="5" t="s">
        <v>19</v>
      </c>
      <c r="F7" s="5" t="s">
        <v>24</v>
      </c>
      <c r="G7" s="5" t="s">
        <v>19</v>
      </c>
      <c r="H7" s="7">
        <f>IF($D$7&lt;&gt;"",$D$7,$D$8*CONVERT(1,"kn","m/s"))</f>
        <v>25.722222222222225</v>
      </c>
    </row>
    <row r="8" spans="1:8" x14ac:dyDescent="0.25">
      <c r="C8" s="5" t="s">
        <v>9</v>
      </c>
      <c r="D8" s="5">
        <v>50</v>
      </c>
      <c r="E8" s="5" t="s">
        <v>96</v>
      </c>
      <c r="G8" s="5" t="s">
        <v>28</v>
      </c>
      <c r="H8" s="5">
        <f>IF($D$8&lt;&gt;"",$D$8, $D$7*CONVERT(1,"m/s","kn"))</f>
        <v>50</v>
      </c>
    </row>
    <row r="9" spans="1:8" x14ac:dyDescent="0.25">
      <c r="B9" s="5" t="s">
        <v>23</v>
      </c>
      <c r="C9" s="5" t="s">
        <v>19</v>
      </c>
      <c r="F9" s="5" t="s">
        <v>23</v>
      </c>
      <c r="G9" s="5" t="s">
        <v>19</v>
      </c>
      <c r="H9" s="7">
        <f>IF($D$9&lt;&gt;"",$D$9,$D$10*CONVERT(1,"kn","m/s"))</f>
        <v>30.866666666666667</v>
      </c>
    </row>
    <row r="10" spans="1:8" x14ac:dyDescent="0.25">
      <c r="C10" s="5" t="s">
        <v>9</v>
      </c>
      <c r="D10" s="5">
        <v>60</v>
      </c>
      <c r="G10" s="5" t="s">
        <v>28</v>
      </c>
      <c r="H10" s="5">
        <f>IF($D$10&lt;&gt;"",$D$10, $D$9*CONVERT(1,"m/s","kn"))</f>
        <v>60</v>
      </c>
    </row>
    <row r="11" spans="1:8" x14ac:dyDescent="0.25">
      <c r="B11" s="5" t="s">
        <v>87</v>
      </c>
      <c r="C11" s="5" t="s">
        <v>31</v>
      </c>
      <c r="D11" s="5">
        <v>5000</v>
      </c>
      <c r="E11" s="5" t="s">
        <v>94</v>
      </c>
      <c r="F11" s="5" t="s">
        <v>87</v>
      </c>
      <c r="G11" s="5" t="s">
        <v>31</v>
      </c>
      <c r="H11" s="5">
        <v>5000</v>
      </c>
    </row>
    <row r="12" spans="1:8" x14ac:dyDescent="0.25">
      <c r="B12" s="5" t="s">
        <v>98</v>
      </c>
      <c r="C12" s="5" t="s">
        <v>30</v>
      </c>
      <c r="F12" s="5" t="s">
        <v>32</v>
      </c>
      <c r="G12" s="5" t="s">
        <v>30</v>
      </c>
      <c r="H12" s="7">
        <f>IF($D$12&lt;&gt;"",$D$12,$D$13*CONVERT(1,"ft","m"))</f>
        <v>457.20000000000005</v>
      </c>
    </row>
    <row r="13" spans="1:8" x14ac:dyDescent="0.25">
      <c r="C13" s="5" t="s">
        <v>31</v>
      </c>
      <c r="D13" s="5">
        <v>1500</v>
      </c>
      <c r="G13" s="5" t="s">
        <v>31</v>
      </c>
      <c r="H13" s="7">
        <f>IF($D$13&lt;&gt;"",$D$13, $D$12*CONVERT(1,"m","ft"))</f>
        <v>1500</v>
      </c>
    </row>
    <row r="14" spans="1:8" x14ac:dyDescent="0.25">
      <c r="B14" s="5" t="s">
        <v>33</v>
      </c>
      <c r="C14" s="5" t="s">
        <v>30</v>
      </c>
      <c r="F14" s="5" t="s">
        <v>33</v>
      </c>
      <c r="G14" s="5" t="s">
        <v>30</v>
      </c>
      <c r="H14" s="7">
        <f>IF($D$14&lt;&gt;"",$D$14,$D$15*CONVERT(1,"ft","m"))</f>
        <v>304.8</v>
      </c>
    </row>
    <row r="15" spans="1:8" ht="43.5" x14ac:dyDescent="0.25">
      <c r="C15" s="5" t="s">
        <v>31</v>
      </c>
      <c r="D15" s="5">
        <v>1000</v>
      </c>
      <c r="E15" s="8" t="s">
        <v>97</v>
      </c>
      <c r="G15" s="5" t="s">
        <v>31</v>
      </c>
      <c r="H15" s="7">
        <f>IF($D$15&lt;&gt;"",$D$15, $D$14*CONVERT(1,"m","ft"))</f>
        <v>1000</v>
      </c>
    </row>
    <row r="16" spans="1:8" x14ac:dyDescent="0.25">
      <c r="B16" s="5" t="s">
        <v>34</v>
      </c>
      <c r="C16" s="5" t="s">
        <v>36</v>
      </c>
      <c r="F16" s="5" t="s">
        <v>34</v>
      </c>
    </row>
    <row r="17" spans="2:9" x14ac:dyDescent="0.25">
      <c r="C17" s="5" t="s">
        <v>37</v>
      </c>
      <c r="D17" s="5">
        <v>6500</v>
      </c>
    </row>
    <row r="18" spans="2:9" x14ac:dyDescent="0.25">
      <c r="B18" s="5" t="s">
        <v>35</v>
      </c>
      <c r="C18" s="5" t="s">
        <v>36</v>
      </c>
      <c r="F18" s="5" t="s">
        <v>35</v>
      </c>
    </row>
    <row r="19" spans="2:9" x14ac:dyDescent="0.25">
      <c r="C19" s="5" t="s">
        <v>37</v>
      </c>
      <c r="D19" s="5">
        <v>5900</v>
      </c>
    </row>
    <row r="20" spans="2:9" x14ac:dyDescent="0.25">
      <c r="B20" s="5" t="s">
        <v>38</v>
      </c>
      <c r="C20" s="5" t="s">
        <v>28</v>
      </c>
    </row>
    <row r="21" spans="2:9" ht="29" x14ac:dyDescent="0.25">
      <c r="B21" s="5" t="s">
        <v>39</v>
      </c>
      <c r="C21" s="5" t="s">
        <v>28</v>
      </c>
      <c r="E21" s="8" t="s">
        <v>95</v>
      </c>
    </row>
    <row r="22" spans="2:9" x14ac:dyDescent="0.25">
      <c r="B22" s="5" t="s">
        <v>40</v>
      </c>
      <c r="C22" s="5" t="s">
        <v>28</v>
      </c>
    </row>
    <row r="23" spans="2:9" x14ac:dyDescent="0.25">
      <c r="B23" s="5" t="s">
        <v>41</v>
      </c>
      <c r="C23" s="5" t="s">
        <v>28</v>
      </c>
    </row>
    <row r="24" spans="2:9" x14ac:dyDescent="0.25">
      <c r="B24" s="5" t="s">
        <v>42</v>
      </c>
      <c r="C24" s="5" t="s">
        <v>28</v>
      </c>
      <c r="D24" s="5">
        <f>1.3*D8</f>
        <v>65</v>
      </c>
    </row>
    <row r="25" spans="2:9" x14ac:dyDescent="0.25">
      <c r="B25" s="5" t="s">
        <v>43</v>
      </c>
      <c r="C25" s="5" t="s">
        <v>44</v>
      </c>
      <c r="D25" s="5">
        <v>14</v>
      </c>
    </row>
    <row r="26" spans="2:9" x14ac:dyDescent="0.25">
      <c r="B26" s="5" t="s">
        <v>45</v>
      </c>
    </row>
    <row r="27" spans="2:9" x14ac:dyDescent="0.25">
      <c r="B27" s="5" t="s">
        <v>46</v>
      </c>
      <c r="C27" s="5" t="s">
        <v>31</v>
      </c>
      <c r="D27" s="5">
        <v>30000</v>
      </c>
      <c r="I27" s="5" t="s">
        <v>47</v>
      </c>
    </row>
    <row r="28" spans="2:9" x14ac:dyDescent="0.25">
      <c r="B28" s="5" t="s">
        <v>48</v>
      </c>
      <c r="C28" s="5" t="s">
        <v>31</v>
      </c>
      <c r="D28" s="5">
        <v>1000</v>
      </c>
    </row>
    <row r="29" spans="2:9" x14ac:dyDescent="0.25">
      <c r="B29" s="5" t="s">
        <v>49</v>
      </c>
      <c r="C29" s="5" t="s">
        <v>31</v>
      </c>
      <c r="D29" s="5">
        <v>500</v>
      </c>
    </row>
    <row r="30" spans="2:9" x14ac:dyDescent="0.25">
      <c r="B30" s="5" t="s">
        <v>50</v>
      </c>
      <c r="C30" s="5" t="s">
        <v>28</v>
      </c>
      <c r="D30" s="5">
        <v>130</v>
      </c>
      <c r="I30" s="5" t="s">
        <v>52</v>
      </c>
    </row>
    <row r="31" spans="2:9" x14ac:dyDescent="0.25">
      <c r="B31" s="5" t="s">
        <v>51</v>
      </c>
      <c r="C31" s="5" t="s">
        <v>28</v>
      </c>
      <c r="D31" s="5">
        <v>145</v>
      </c>
    </row>
    <row r="32" spans="2:9" ht="43.5" x14ac:dyDescent="0.25">
      <c r="B32" s="5" t="s">
        <v>99</v>
      </c>
      <c r="C32" s="5" t="s">
        <v>100</v>
      </c>
      <c r="E32" s="8" t="s">
        <v>101</v>
      </c>
    </row>
    <row r="33" spans="2:9" x14ac:dyDescent="0.25">
      <c r="B33" s="5" t="s">
        <v>102</v>
      </c>
      <c r="C33" s="5" t="s">
        <v>100</v>
      </c>
    </row>
    <row r="34" spans="2:9" x14ac:dyDescent="0.25">
      <c r="B34" s="5" t="s">
        <v>3</v>
      </c>
    </row>
    <row r="35" spans="2:9" x14ac:dyDescent="0.25">
      <c r="B35" s="5" t="s">
        <v>4</v>
      </c>
    </row>
    <row r="36" spans="2:9" x14ac:dyDescent="0.25">
      <c r="B36" s="5" t="s">
        <v>5</v>
      </c>
    </row>
    <row r="37" spans="2:9" x14ac:dyDescent="0.25">
      <c r="B37" s="5" t="s">
        <v>6</v>
      </c>
    </row>
    <row r="38" spans="2:9" x14ac:dyDescent="0.25">
      <c r="B38" s="5" t="s">
        <v>2</v>
      </c>
    </row>
    <row r="39" spans="2:9" x14ac:dyDescent="0.25">
      <c r="B39" s="5" t="s">
        <v>1</v>
      </c>
    </row>
    <row r="41" spans="2:9" x14ac:dyDescent="0.25">
      <c r="B41" s="5" t="s">
        <v>53</v>
      </c>
      <c r="C41" s="5" t="s">
        <v>37</v>
      </c>
      <c r="D41" s="5">
        <v>300</v>
      </c>
    </row>
    <row r="42" spans="2:9" x14ac:dyDescent="0.25">
      <c r="B42" s="5" t="s">
        <v>54</v>
      </c>
      <c r="C42" s="5" t="s">
        <v>37</v>
      </c>
      <c r="D42" s="5">
        <v>465</v>
      </c>
    </row>
    <row r="43" spans="2:9" x14ac:dyDescent="0.25">
      <c r="B43" s="5" t="s">
        <v>55</v>
      </c>
      <c r="C43" s="5" t="s">
        <v>37</v>
      </c>
      <c r="D43" s="5">
        <v>3550</v>
      </c>
    </row>
    <row r="44" spans="2:9" x14ac:dyDescent="0.25">
      <c r="B44" s="5" t="s">
        <v>56</v>
      </c>
      <c r="C44" s="5" t="s">
        <v>58</v>
      </c>
      <c r="D44" s="5">
        <v>504</v>
      </c>
      <c r="I44" s="5" t="s">
        <v>57</v>
      </c>
    </row>
    <row r="45" spans="2:9" x14ac:dyDescent="0.25">
      <c r="B45" s="5" t="s">
        <v>59</v>
      </c>
      <c r="C45" s="5" t="s">
        <v>28</v>
      </c>
      <c r="D45" s="5">
        <v>145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B39F-AE70-43A3-B4F2-47E21227456F}">
  <dimension ref="A2:R44"/>
  <sheetViews>
    <sheetView tabSelected="1" topLeftCell="A15" zoomScaleNormal="100" workbookViewId="0">
      <selection activeCell="G26" sqref="G26"/>
    </sheetView>
  </sheetViews>
  <sheetFormatPr defaultRowHeight="14.5" x14ac:dyDescent="0.25"/>
  <cols>
    <col min="1" max="1" width="19.08984375" style="5" bestFit="1" customWidth="1"/>
    <col min="2" max="2" width="30.453125" style="10" bestFit="1" customWidth="1"/>
    <col min="3" max="3" width="12.453125" style="9" bestFit="1" customWidth="1"/>
    <col min="4" max="5" width="8.7265625" style="9"/>
    <col min="6" max="9" width="8.7265625" style="9" customWidth="1"/>
    <col min="10" max="11" width="8.7265625" style="9"/>
    <col min="12" max="12" width="53.90625" style="5" customWidth="1"/>
    <col min="13" max="15" width="8.7265625" style="5"/>
    <col min="16" max="16" width="23.08984375" style="5" bestFit="1" customWidth="1"/>
    <col min="17" max="17" width="8.7265625" style="5" customWidth="1"/>
    <col min="18" max="18" width="8.81640625" style="5" customWidth="1"/>
    <col min="19" max="16384" width="8.7265625" style="5"/>
  </cols>
  <sheetData>
    <row r="2" spans="1:18" ht="72.5" x14ac:dyDescent="0.25">
      <c r="A2" s="11"/>
      <c r="B2" s="12"/>
      <c r="C2" s="13"/>
      <c r="D2" s="13"/>
      <c r="E2" s="15" t="s">
        <v>191</v>
      </c>
      <c r="F2" s="15" t="s">
        <v>191</v>
      </c>
      <c r="G2" s="15" t="s">
        <v>192</v>
      </c>
      <c r="H2" s="15" t="s">
        <v>192</v>
      </c>
      <c r="I2" s="15" t="s">
        <v>192</v>
      </c>
      <c r="J2" s="15" t="s">
        <v>193</v>
      </c>
      <c r="K2" s="15" t="s">
        <v>194</v>
      </c>
      <c r="L2" s="11" t="s">
        <v>222</v>
      </c>
      <c r="P2" s="16" t="s">
        <v>160</v>
      </c>
    </row>
    <row r="3" spans="1:18" ht="43.5" x14ac:dyDescent="0.25">
      <c r="A3" s="11"/>
      <c r="B3" s="12" t="s">
        <v>178</v>
      </c>
      <c r="C3" s="13" t="s">
        <v>120</v>
      </c>
      <c r="D3" s="13" t="s">
        <v>110</v>
      </c>
      <c r="E3" s="13">
        <v>9.8066499999999994</v>
      </c>
      <c r="F3" s="13">
        <v>9.8066499999999994</v>
      </c>
      <c r="G3" s="13">
        <v>9.8066499999999994</v>
      </c>
      <c r="H3" s="13">
        <v>9.8066499999999994</v>
      </c>
      <c r="I3" s="13">
        <v>9.8066499999999994</v>
      </c>
      <c r="J3" s="13">
        <v>9.8066499999999994</v>
      </c>
      <c r="K3" s="13">
        <v>9.8066499999999994</v>
      </c>
      <c r="L3" s="11"/>
      <c r="P3" s="11"/>
      <c r="Q3" s="15" t="s">
        <v>159</v>
      </c>
      <c r="R3" s="13" t="s">
        <v>154</v>
      </c>
    </row>
    <row r="4" spans="1:18" x14ac:dyDescent="0.25">
      <c r="A4" s="11"/>
      <c r="B4" s="12" t="s">
        <v>179</v>
      </c>
      <c r="C4" s="13" t="s">
        <v>105</v>
      </c>
      <c r="D4" s="13"/>
      <c r="E4" s="13">
        <v>0.04</v>
      </c>
      <c r="F4" s="13">
        <v>0.04</v>
      </c>
      <c r="G4" s="13">
        <v>0.04</v>
      </c>
      <c r="H4" s="13">
        <v>0.04</v>
      </c>
      <c r="I4" s="13">
        <v>0.04</v>
      </c>
      <c r="J4" s="13">
        <v>0.04</v>
      </c>
      <c r="K4" s="13">
        <v>0.04</v>
      </c>
      <c r="L4" s="11" t="s">
        <v>142</v>
      </c>
      <c r="P4" s="11" t="s">
        <v>147</v>
      </c>
      <c r="Q4" s="13" t="s">
        <v>155</v>
      </c>
      <c r="R4" s="13" t="s">
        <v>156</v>
      </c>
    </row>
    <row r="5" spans="1:18" x14ac:dyDescent="0.25">
      <c r="A5" s="32" t="s">
        <v>122</v>
      </c>
      <c r="B5" s="12"/>
      <c r="C5" s="13"/>
      <c r="D5" s="13"/>
      <c r="E5" s="13"/>
      <c r="F5" s="13"/>
      <c r="G5" s="13"/>
      <c r="H5" s="13"/>
      <c r="I5" s="13"/>
      <c r="J5" s="13"/>
      <c r="K5" s="13"/>
      <c r="L5" s="11"/>
      <c r="P5" s="11" t="s">
        <v>148</v>
      </c>
      <c r="Q5" s="13">
        <v>0.05</v>
      </c>
      <c r="R5" s="13" t="s">
        <v>157</v>
      </c>
    </row>
    <row r="6" spans="1:18" x14ac:dyDescent="0.25">
      <c r="A6" s="33"/>
      <c r="B6" s="17" t="s">
        <v>124</v>
      </c>
      <c r="C6" s="13" t="s">
        <v>126</v>
      </c>
      <c r="D6" s="13" t="s">
        <v>100</v>
      </c>
      <c r="E6" s="13">
        <v>4000</v>
      </c>
      <c r="F6" s="13">
        <v>4000</v>
      </c>
      <c r="G6" s="13">
        <v>4000</v>
      </c>
      <c r="H6" s="13">
        <v>4000</v>
      </c>
      <c r="I6" s="13">
        <v>4000</v>
      </c>
      <c r="J6" s="13">
        <v>4000</v>
      </c>
      <c r="K6" s="13">
        <v>4000</v>
      </c>
      <c r="L6" s="11"/>
      <c r="P6" s="11" t="s">
        <v>149</v>
      </c>
      <c r="Q6" s="13">
        <v>0.02</v>
      </c>
      <c r="R6" s="13" t="s">
        <v>158</v>
      </c>
    </row>
    <row r="7" spans="1:18" x14ac:dyDescent="0.25">
      <c r="A7" s="33"/>
      <c r="B7" s="17" t="s">
        <v>123</v>
      </c>
      <c r="C7" s="13" t="s">
        <v>127</v>
      </c>
      <c r="D7" s="13" t="s">
        <v>121</v>
      </c>
      <c r="E7" s="13">
        <v>15</v>
      </c>
      <c r="F7" s="13">
        <v>15</v>
      </c>
      <c r="G7" s="13">
        <v>15</v>
      </c>
      <c r="H7" s="13">
        <v>15</v>
      </c>
      <c r="I7" s="13">
        <v>15</v>
      </c>
      <c r="J7" s="13">
        <v>15</v>
      </c>
      <c r="K7" s="13">
        <v>15</v>
      </c>
      <c r="L7" s="11"/>
      <c r="P7" s="11" t="s">
        <v>150</v>
      </c>
      <c r="Q7" s="13">
        <v>0.05</v>
      </c>
      <c r="R7" s="13">
        <v>0.4</v>
      </c>
    </row>
    <row r="8" spans="1:18" x14ac:dyDescent="0.25">
      <c r="A8" s="33"/>
      <c r="B8" s="17" t="s">
        <v>146</v>
      </c>
      <c r="C8" s="13" t="s">
        <v>138</v>
      </c>
      <c r="D8" s="13" t="s">
        <v>107</v>
      </c>
      <c r="E8" s="13">
        <v>52.2</v>
      </c>
      <c r="F8" s="13">
        <v>52.2</v>
      </c>
      <c r="G8" s="13">
        <v>52.2</v>
      </c>
      <c r="H8" s="13">
        <v>52.2</v>
      </c>
      <c r="I8" s="13">
        <v>52.2</v>
      </c>
      <c r="J8" s="13">
        <v>52.2</v>
      </c>
      <c r="K8" s="13">
        <v>52.2</v>
      </c>
      <c r="L8" s="11"/>
      <c r="P8" s="11" t="s">
        <v>151</v>
      </c>
      <c r="Q8" s="13">
        <v>0.04</v>
      </c>
      <c r="R8" s="13">
        <v>0.3</v>
      </c>
    </row>
    <row r="9" spans="1:18" x14ac:dyDescent="0.25">
      <c r="A9" s="33"/>
      <c r="B9" s="17" t="s">
        <v>163</v>
      </c>
      <c r="C9" s="13"/>
      <c r="D9" s="13"/>
      <c r="E9" s="13">
        <v>1.1000000000000001</v>
      </c>
      <c r="F9" s="13">
        <v>1.1000000000000001</v>
      </c>
      <c r="G9" s="13">
        <v>1.1000000000000001</v>
      </c>
      <c r="H9" s="13">
        <v>1.1000000000000001</v>
      </c>
      <c r="I9" s="13">
        <v>1.1000000000000001</v>
      </c>
      <c r="J9" s="13">
        <v>1.1000000000000001</v>
      </c>
      <c r="K9" s="13">
        <v>1.1000000000000001</v>
      </c>
      <c r="L9" s="11"/>
      <c r="P9" s="11"/>
      <c r="Q9" s="13"/>
      <c r="R9" s="13"/>
    </row>
    <row r="10" spans="1:18" x14ac:dyDescent="0.25">
      <c r="A10" s="33"/>
      <c r="B10" s="31" t="s">
        <v>125</v>
      </c>
      <c r="C10" s="13" t="s">
        <v>139</v>
      </c>
      <c r="D10" s="13" t="s">
        <v>107</v>
      </c>
      <c r="E10" s="13">
        <f>E8*E9</f>
        <v>57.420000000000009</v>
      </c>
      <c r="F10" s="13">
        <f>F8*F9</f>
        <v>57.420000000000009</v>
      </c>
      <c r="G10" s="13">
        <f>G8*G9</f>
        <v>57.420000000000009</v>
      </c>
      <c r="H10" s="13">
        <f>H8*H9</f>
        <v>57.420000000000009</v>
      </c>
      <c r="I10" s="13">
        <f>I8*I9</f>
        <v>57.420000000000009</v>
      </c>
      <c r="J10" s="13">
        <f>J8*J9</f>
        <v>57.420000000000009</v>
      </c>
      <c r="K10" s="13">
        <f>K8*K9</f>
        <v>57.420000000000009</v>
      </c>
      <c r="L10" s="11"/>
      <c r="P10" s="11" t="s">
        <v>152</v>
      </c>
      <c r="Q10" s="13">
        <v>7.0000000000000007E-2</v>
      </c>
      <c r="R10" s="13">
        <v>0.2</v>
      </c>
    </row>
    <row r="11" spans="1:18" x14ac:dyDescent="0.25">
      <c r="A11" s="33"/>
      <c r="B11" s="31"/>
      <c r="C11" s="13" t="s">
        <v>118</v>
      </c>
      <c r="D11" s="13" t="s">
        <v>19</v>
      </c>
      <c r="E11" s="20">
        <f>E10*CONVERT(1,"kn","m/sec")</f>
        <v>29.539400000000008</v>
      </c>
      <c r="F11" s="20">
        <f>F10*CONVERT(1,"kn","m/sec")</f>
        <v>29.539400000000008</v>
      </c>
      <c r="G11" s="20">
        <f>G10*CONVERT(1,"kn","m/sec")</f>
        <v>29.539400000000008</v>
      </c>
      <c r="H11" s="20">
        <f>H10*CONVERT(1,"kn","m/sec")</f>
        <v>29.539400000000008</v>
      </c>
      <c r="I11" s="20">
        <f>I10*CONVERT(1,"kn","m/sec")</f>
        <v>29.539400000000008</v>
      </c>
      <c r="J11" s="20">
        <f>J10*CONVERT(1,"kn","m/sec")</f>
        <v>29.539400000000008</v>
      </c>
      <c r="K11" s="20">
        <f>K10*CONVERT(1,"kn","m/sec")</f>
        <v>29.539400000000008</v>
      </c>
      <c r="L11" s="11"/>
      <c r="P11" s="11" t="s">
        <v>153</v>
      </c>
      <c r="Q11" s="13">
        <v>0.08</v>
      </c>
      <c r="R11" s="13">
        <v>0.2</v>
      </c>
    </row>
    <row r="12" spans="1:18" x14ac:dyDescent="0.25">
      <c r="A12" s="33"/>
      <c r="B12" s="17" t="s">
        <v>162</v>
      </c>
      <c r="C12" s="13"/>
      <c r="D12" s="13"/>
      <c r="E12" s="13" t="s">
        <v>103</v>
      </c>
      <c r="F12" s="13" t="s">
        <v>103</v>
      </c>
      <c r="G12" s="13" t="s">
        <v>103</v>
      </c>
      <c r="H12" s="13" t="s">
        <v>103</v>
      </c>
      <c r="I12" s="13" t="s">
        <v>103</v>
      </c>
      <c r="J12" s="13" t="s">
        <v>190</v>
      </c>
      <c r="K12" s="13" t="s">
        <v>190</v>
      </c>
      <c r="L12" s="11"/>
      <c r="Q12" s="9"/>
      <c r="R12" s="9"/>
    </row>
    <row r="13" spans="1:18" x14ac:dyDescent="0.25">
      <c r="A13" s="34"/>
      <c r="B13" s="12" t="s">
        <v>180</v>
      </c>
      <c r="C13" s="13" t="s">
        <v>119</v>
      </c>
      <c r="D13" s="13" t="s">
        <v>112</v>
      </c>
      <c r="E13" s="13">
        <v>1.0549999999999999</v>
      </c>
      <c r="F13" s="13">
        <v>1.0549999999999999</v>
      </c>
      <c r="G13" s="13">
        <v>1.0549999999999999</v>
      </c>
      <c r="H13" s="13">
        <v>1.0549999999999999</v>
      </c>
      <c r="I13" s="13">
        <v>1.0549999999999999</v>
      </c>
      <c r="J13" s="13">
        <v>1.0549999999999999</v>
      </c>
      <c r="K13" s="13">
        <v>1.0549999999999999</v>
      </c>
      <c r="L13" s="11"/>
    </row>
    <row r="14" spans="1:18" x14ac:dyDescent="0.25">
      <c r="A14" s="32" t="s">
        <v>128</v>
      </c>
      <c r="B14" s="28" t="s">
        <v>133</v>
      </c>
      <c r="C14" s="13" t="s">
        <v>135</v>
      </c>
      <c r="D14" s="13" t="s">
        <v>106</v>
      </c>
      <c r="E14" s="13">
        <v>7000</v>
      </c>
      <c r="F14" s="13">
        <v>7000</v>
      </c>
      <c r="G14" s="67">
        <v>7000</v>
      </c>
      <c r="H14" s="67">
        <v>6000</v>
      </c>
      <c r="I14" s="67">
        <v>5000</v>
      </c>
      <c r="J14" s="13">
        <v>7000</v>
      </c>
      <c r="K14" s="13">
        <v>7000</v>
      </c>
      <c r="L14" s="11"/>
    </row>
    <row r="15" spans="1:18" x14ac:dyDescent="0.25">
      <c r="A15" s="33"/>
      <c r="B15" s="29"/>
      <c r="C15" s="13" t="s">
        <v>134</v>
      </c>
      <c r="D15" s="13" t="s">
        <v>10</v>
      </c>
      <c r="E15" s="21">
        <f>E14*CONVERT(1,"lbm","kg")</f>
        <v>3175.1465900000003</v>
      </c>
      <c r="F15" s="21">
        <f>F14*CONVERT(1,"lbm","kg")</f>
        <v>3175.1465900000003</v>
      </c>
      <c r="G15" s="21">
        <f>G14*CONVERT(1,"lbm","kg")</f>
        <v>3175.1465900000003</v>
      </c>
      <c r="H15" s="21">
        <f>H14*CONVERT(1,"lbm","kg")</f>
        <v>2721.55422</v>
      </c>
      <c r="I15" s="21">
        <f>I14*CONVERT(1,"lbm","kg")</f>
        <v>2267.9618500000001</v>
      </c>
      <c r="J15" s="21">
        <f>J14*CONVERT(1,"lbm","kg")</f>
        <v>3175.1465900000003</v>
      </c>
      <c r="K15" s="21">
        <f>K14*CONVERT(1,"lbm","kg")</f>
        <v>3175.1465900000003</v>
      </c>
      <c r="L15" s="11"/>
    </row>
    <row r="16" spans="1:18" x14ac:dyDescent="0.25">
      <c r="A16" s="34"/>
      <c r="B16" s="30"/>
      <c r="C16" s="13" t="s">
        <v>161</v>
      </c>
      <c r="D16" s="13" t="s">
        <v>111</v>
      </c>
      <c r="E16" s="21">
        <f>E15*E3</f>
        <v>31137.551306823501</v>
      </c>
      <c r="F16" s="21">
        <f>F15*F3</f>
        <v>31137.551306823501</v>
      </c>
      <c r="G16" s="21">
        <f>G15*G3</f>
        <v>31137.551306823501</v>
      </c>
      <c r="H16" s="21">
        <f>H15*H3</f>
        <v>26689.329691562998</v>
      </c>
      <c r="I16" s="21">
        <f>I15*I3</f>
        <v>22241.108076302498</v>
      </c>
      <c r="J16" s="21">
        <f>J15*J3</f>
        <v>31137.551306823501</v>
      </c>
      <c r="K16" s="21">
        <f>K15*K3</f>
        <v>31137.551306823501</v>
      </c>
      <c r="L16" s="11"/>
    </row>
    <row r="17" spans="1:12" x14ac:dyDescent="0.25">
      <c r="A17" s="32" t="s">
        <v>129</v>
      </c>
      <c r="B17" s="31" t="s">
        <v>113</v>
      </c>
      <c r="C17" s="13" t="s">
        <v>116</v>
      </c>
      <c r="D17" s="13" t="s">
        <v>117</v>
      </c>
      <c r="E17" s="13">
        <v>276.5</v>
      </c>
      <c r="F17" s="13">
        <v>276.5</v>
      </c>
      <c r="G17" s="13">
        <v>276.5</v>
      </c>
      <c r="H17" s="13">
        <v>276.5</v>
      </c>
      <c r="I17" s="13">
        <v>276.5</v>
      </c>
      <c r="J17" s="13">
        <v>276.5</v>
      </c>
      <c r="K17" s="13">
        <v>276.5</v>
      </c>
      <c r="L17" s="11"/>
    </row>
    <row r="18" spans="1:12" x14ac:dyDescent="0.25">
      <c r="A18" s="33"/>
      <c r="B18" s="31"/>
      <c r="C18" s="13" t="s">
        <v>115</v>
      </c>
      <c r="D18" s="13" t="s">
        <v>114</v>
      </c>
      <c r="E18" s="20">
        <f>E17*CONVERT(1,"ft","m")^2</f>
        <v>25.68769056</v>
      </c>
      <c r="F18" s="20">
        <f>F17*CONVERT(1,"ft","m")^2</f>
        <v>25.68769056</v>
      </c>
      <c r="G18" s="20">
        <f>G17*CONVERT(1,"ft","m")^2</f>
        <v>25.68769056</v>
      </c>
      <c r="H18" s="20">
        <f>H17*CONVERT(1,"ft","m")^2</f>
        <v>25.68769056</v>
      </c>
      <c r="I18" s="20">
        <f>I17*CONVERT(1,"ft","m")^2</f>
        <v>25.68769056</v>
      </c>
      <c r="J18" s="20">
        <f>J17*CONVERT(1,"ft","m")^2</f>
        <v>25.68769056</v>
      </c>
      <c r="K18" s="20">
        <f>K17*CONVERT(1,"ft","m")^2</f>
        <v>25.68769056</v>
      </c>
      <c r="L18" s="11"/>
    </row>
    <row r="19" spans="1:12" x14ac:dyDescent="0.25">
      <c r="A19" s="33"/>
      <c r="B19" s="26" t="s">
        <v>172</v>
      </c>
      <c r="C19" s="13" t="s">
        <v>173</v>
      </c>
      <c r="D19" s="13" t="s">
        <v>100</v>
      </c>
      <c r="E19" s="20">
        <v>55.3</v>
      </c>
      <c r="F19" s="20">
        <v>55.3</v>
      </c>
      <c r="G19" s="20">
        <v>55.3</v>
      </c>
      <c r="H19" s="20">
        <v>55.3</v>
      </c>
      <c r="I19" s="20">
        <v>55.3</v>
      </c>
      <c r="J19" s="20">
        <v>55.3</v>
      </c>
      <c r="K19" s="20">
        <v>55.3</v>
      </c>
      <c r="L19" s="11"/>
    </row>
    <row r="20" spans="1:12" x14ac:dyDescent="0.25">
      <c r="A20" s="33"/>
      <c r="B20" s="27"/>
      <c r="C20" s="13" t="s">
        <v>174</v>
      </c>
      <c r="D20" s="13" t="s">
        <v>108</v>
      </c>
      <c r="E20" s="20">
        <f>E19*CONVERT(1,"ft","m")</f>
        <v>16.855440000000002</v>
      </c>
      <c r="F20" s="20">
        <f>F19*CONVERT(1,"ft","m")</f>
        <v>16.855440000000002</v>
      </c>
      <c r="G20" s="20">
        <f>G19*CONVERT(1,"ft","m")</f>
        <v>16.855440000000002</v>
      </c>
      <c r="H20" s="20">
        <f>H19*CONVERT(1,"ft","m")</f>
        <v>16.855440000000002</v>
      </c>
      <c r="I20" s="20">
        <f>I19*CONVERT(1,"ft","m")</f>
        <v>16.855440000000002</v>
      </c>
      <c r="J20" s="20">
        <f>J19*CONVERT(1,"ft","m")</f>
        <v>16.855440000000002</v>
      </c>
      <c r="K20" s="20">
        <f>K19*CONVERT(1,"ft","m")</f>
        <v>16.855440000000002</v>
      </c>
      <c r="L20" s="11"/>
    </row>
    <row r="21" spans="1:12" x14ac:dyDescent="0.25">
      <c r="A21" s="33"/>
      <c r="B21" s="26" t="s">
        <v>181</v>
      </c>
      <c r="C21" s="13" t="s">
        <v>168</v>
      </c>
      <c r="D21" s="13" t="s">
        <v>100</v>
      </c>
      <c r="E21" s="13">
        <v>5</v>
      </c>
      <c r="F21" s="13">
        <v>5</v>
      </c>
      <c r="G21" s="13">
        <v>5</v>
      </c>
      <c r="H21" s="13">
        <v>5</v>
      </c>
      <c r="I21" s="13">
        <v>5</v>
      </c>
      <c r="J21" s="13">
        <v>5</v>
      </c>
      <c r="K21" s="13">
        <v>5</v>
      </c>
      <c r="L21" s="11"/>
    </row>
    <row r="22" spans="1:12" x14ac:dyDescent="0.25">
      <c r="A22" s="33"/>
      <c r="B22" s="27"/>
      <c r="C22" s="13" t="s">
        <v>169</v>
      </c>
      <c r="D22" s="13" t="s">
        <v>108</v>
      </c>
      <c r="E22" s="13">
        <f>E21*CONVERT(1,"ft","m")</f>
        <v>1.524</v>
      </c>
      <c r="F22" s="13">
        <f>F21*CONVERT(1,"ft","m")</f>
        <v>1.524</v>
      </c>
      <c r="G22" s="13">
        <f>G21*CONVERT(1,"ft","m")</f>
        <v>1.524</v>
      </c>
      <c r="H22" s="13">
        <f>H21*CONVERT(1,"ft","m")</f>
        <v>1.524</v>
      </c>
      <c r="I22" s="13">
        <f>I21*CONVERT(1,"ft","m")</f>
        <v>1.524</v>
      </c>
      <c r="J22" s="13">
        <f>J21*CONVERT(1,"ft","m")</f>
        <v>1.524</v>
      </c>
      <c r="K22" s="13">
        <f>K21*CONVERT(1,"ft","m")</f>
        <v>1.524</v>
      </c>
      <c r="L22" s="11"/>
    </row>
    <row r="23" spans="1:12" x14ac:dyDescent="0.25">
      <c r="A23" s="33"/>
      <c r="B23" s="19" t="s">
        <v>170</v>
      </c>
      <c r="C23" s="13" t="s">
        <v>171</v>
      </c>
      <c r="D23" s="13" t="s">
        <v>18</v>
      </c>
      <c r="E23" s="13">
        <f>E20^2/E18</f>
        <v>11.06</v>
      </c>
      <c r="F23" s="13">
        <f>F20^2/F18</f>
        <v>11.06</v>
      </c>
      <c r="G23" s="13">
        <f>G20^2/G18</f>
        <v>11.06</v>
      </c>
      <c r="H23" s="13">
        <f>H20^2/H18</f>
        <v>11.06</v>
      </c>
      <c r="I23" s="13">
        <f>I20^2/I18</f>
        <v>11.06</v>
      </c>
      <c r="J23" s="13">
        <f>J20^2/J18</f>
        <v>11.06</v>
      </c>
      <c r="K23" s="13">
        <f>K20^2/K18</f>
        <v>11.06</v>
      </c>
      <c r="L23" s="11"/>
    </row>
    <row r="24" spans="1:12" x14ac:dyDescent="0.25">
      <c r="A24" s="33"/>
      <c r="B24" s="12" t="s">
        <v>130</v>
      </c>
      <c r="C24" s="13" t="s">
        <v>136</v>
      </c>
      <c r="D24" s="13" t="s">
        <v>131</v>
      </c>
      <c r="E24" s="13">
        <v>10</v>
      </c>
      <c r="F24" s="13">
        <v>10</v>
      </c>
      <c r="G24" s="13">
        <v>10</v>
      </c>
      <c r="H24" s="13">
        <v>10</v>
      </c>
      <c r="I24" s="13">
        <v>10</v>
      </c>
      <c r="J24" s="13">
        <v>10</v>
      </c>
      <c r="K24" s="13">
        <v>10</v>
      </c>
      <c r="L24" s="11"/>
    </row>
    <row r="25" spans="1:12" x14ac:dyDescent="0.25">
      <c r="A25" s="33"/>
      <c r="B25" s="12" t="s">
        <v>132</v>
      </c>
      <c r="C25" s="13" t="s">
        <v>137</v>
      </c>
      <c r="D25" s="13" t="s">
        <v>131</v>
      </c>
      <c r="E25" s="13">
        <v>30</v>
      </c>
      <c r="F25" s="13">
        <v>30</v>
      </c>
      <c r="G25" s="13">
        <v>30</v>
      </c>
      <c r="H25" s="13">
        <v>30</v>
      </c>
      <c r="I25" s="13">
        <v>30</v>
      </c>
      <c r="J25" s="13">
        <v>30</v>
      </c>
      <c r="K25" s="13">
        <v>30</v>
      </c>
      <c r="L25" s="11"/>
    </row>
    <row r="26" spans="1:12" x14ac:dyDescent="0.25">
      <c r="A26" s="33"/>
      <c r="B26" s="17" t="s">
        <v>165</v>
      </c>
      <c r="C26" s="13" t="s">
        <v>175</v>
      </c>
      <c r="D26" s="13" t="s">
        <v>18</v>
      </c>
      <c r="E26" s="22">
        <v>3</v>
      </c>
      <c r="F26" s="22">
        <v>2.8</v>
      </c>
      <c r="G26" s="13">
        <v>2.66</v>
      </c>
      <c r="H26" s="13">
        <v>2.66</v>
      </c>
      <c r="I26" s="13">
        <v>2.66</v>
      </c>
      <c r="J26" s="22">
        <v>2.8</v>
      </c>
      <c r="K26" s="13">
        <v>2.66</v>
      </c>
      <c r="L26" s="11" t="s">
        <v>186</v>
      </c>
    </row>
    <row r="27" spans="1:12" x14ac:dyDescent="0.25">
      <c r="A27" s="33"/>
      <c r="B27" s="17" t="s">
        <v>187</v>
      </c>
      <c r="C27" s="13"/>
      <c r="D27" s="13"/>
      <c r="E27" s="22">
        <f>E26/E9^2</f>
        <v>2.4793388429752063</v>
      </c>
      <c r="F27" s="22">
        <f>F26/F9^2</f>
        <v>2.3140495867768589</v>
      </c>
      <c r="G27" s="22">
        <f>G26/G9^2</f>
        <v>2.1983471074380163</v>
      </c>
      <c r="H27" s="22">
        <f>H26/H9^2</f>
        <v>2.1983471074380163</v>
      </c>
      <c r="I27" s="22">
        <f>I26/I9^2</f>
        <v>2.1983471074380163</v>
      </c>
      <c r="J27" s="22">
        <f>J26/J9^2</f>
        <v>2.3140495867768589</v>
      </c>
      <c r="K27" s="22">
        <f>K26/K9^2</f>
        <v>2.1983471074380163</v>
      </c>
      <c r="L27" s="11" t="s">
        <v>188</v>
      </c>
    </row>
    <row r="28" spans="1:12" x14ac:dyDescent="0.25">
      <c r="A28" s="33"/>
      <c r="B28" s="12" t="s">
        <v>164</v>
      </c>
      <c r="C28" s="13" t="s">
        <v>176</v>
      </c>
      <c r="D28" s="13" t="s">
        <v>18</v>
      </c>
      <c r="E28" s="13">
        <v>0.04</v>
      </c>
      <c r="F28" s="13">
        <v>0.06</v>
      </c>
      <c r="G28" s="13">
        <v>0.06</v>
      </c>
      <c r="H28" s="13">
        <v>0.06</v>
      </c>
      <c r="I28" s="13">
        <v>0.06</v>
      </c>
      <c r="J28" s="13">
        <v>0.06</v>
      </c>
      <c r="K28" s="13">
        <v>0.06</v>
      </c>
      <c r="L28" s="11"/>
    </row>
    <row r="29" spans="1:12" x14ac:dyDescent="0.25">
      <c r="A29" s="33"/>
      <c r="B29" s="26" t="s">
        <v>166</v>
      </c>
      <c r="C29" s="13" t="s">
        <v>202</v>
      </c>
      <c r="D29" s="13" t="s">
        <v>143</v>
      </c>
      <c r="E29" s="13">
        <v>1600</v>
      </c>
      <c r="F29" s="13">
        <v>1600</v>
      </c>
      <c r="G29" s="13">
        <v>1600</v>
      </c>
      <c r="H29" s="13">
        <v>1600</v>
      </c>
      <c r="I29" s="13">
        <v>1600</v>
      </c>
      <c r="J29" s="13">
        <v>1600</v>
      </c>
      <c r="K29" s="13">
        <v>1600</v>
      </c>
      <c r="L29" s="11"/>
    </row>
    <row r="30" spans="1:12" x14ac:dyDescent="0.25">
      <c r="A30" s="33"/>
      <c r="B30" s="27"/>
      <c r="C30" s="13" t="s">
        <v>203</v>
      </c>
      <c r="D30" s="13" t="s">
        <v>111</v>
      </c>
      <c r="E30" s="21">
        <f>E29*CONVERT(1,"lbf","N")</f>
        <v>7117.1545844168013</v>
      </c>
      <c r="F30" s="21">
        <f>F29*CONVERT(1,"lbf","N")</f>
        <v>7117.1545844168013</v>
      </c>
      <c r="G30" s="21">
        <f>G29*CONVERT(1,"lbf","N")</f>
        <v>7117.1545844168013</v>
      </c>
      <c r="H30" s="21">
        <f>H29*CONVERT(1,"lbf","N")</f>
        <v>7117.1545844168013</v>
      </c>
      <c r="I30" s="21">
        <f>I29*CONVERT(1,"lbf","N")</f>
        <v>7117.1545844168013</v>
      </c>
      <c r="J30" s="21">
        <f>J29*CONVERT(1,"lbf","N")</f>
        <v>7117.1545844168013</v>
      </c>
      <c r="K30" s="21">
        <f>K29*CONVERT(1,"lbf","N")</f>
        <v>7117.1545844168013</v>
      </c>
      <c r="L30" s="11"/>
    </row>
    <row r="31" spans="1:12" x14ac:dyDescent="0.25">
      <c r="A31" s="33"/>
      <c r="B31" s="19" t="s">
        <v>285</v>
      </c>
      <c r="C31" s="13" t="s">
        <v>284</v>
      </c>
      <c r="D31" s="13"/>
      <c r="E31" s="20">
        <v>0.75</v>
      </c>
      <c r="F31" s="20">
        <v>0.8</v>
      </c>
      <c r="G31" s="20">
        <v>0.8</v>
      </c>
      <c r="H31" s="20">
        <v>0.8</v>
      </c>
      <c r="I31" s="20">
        <v>0.8</v>
      </c>
      <c r="J31" s="20">
        <v>0.8</v>
      </c>
      <c r="K31" s="20">
        <v>0.8</v>
      </c>
      <c r="L31" s="11"/>
    </row>
    <row r="32" spans="1:12" x14ac:dyDescent="0.25">
      <c r="A32" s="34"/>
      <c r="B32" s="12" t="s">
        <v>290</v>
      </c>
      <c r="C32" s="13" t="s">
        <v>104</v>
      </c>
      <c r="D32" s="13" t="s">
        <v>18</v>
      </c>
      <c r="E32" s="23">
        <f>1/(PI()*E31*E23)</f>
        <v>3.8373705386834316E-2</v>
      </c>
      <c r="F32" s="23">
        <f>1/(PI()*F31*F23)</f>
        <v>3.5975348800157174E-2</v>
      </c>
      <c r="G32" s="23">
        <f t="shared" ref="G32:K32" si="0">1/(PI()*G31*G23)</f>
        <v>3.5975348800157174E-2</v>
      </c>
      <c r="H32" s="23">
        <f>1/(PI()*H31*H23)</f>
        <v>3.5975348800157174E-2</v>
      </c>
      <c r="I32" s="23">
        <f t="shared" si="0"/>
        <v>3.5975348800157174E-2</v>
      </c>
      <c r="J32" s="23">
        <f t="shared" si="0"/>
        <v>3.5975348800157174E-2</v>
      </c>
      <c r="K32" s="23">
        <f t="shared" si="0"/>
        <v>3.5975348800157174E-2</v>
      </c>
      <c r="L32" s="11" t="s">
        <v>167</v>
      </c>
    </row>
    <row r="33" spans="1:12" x14ac:dyDescent="0.25">
      <c r="A33" s="14"/>
      <c r="B33" s="12" t="s">
        <v>199</v>
      </c>
      <c r="C33" s="13" t="s">
        <v>204</v>
      </c>
      <c r="D33" s="13" t="s">
        <v>111</v>
      </c>
      <c r="E33" s="21">
        <f>0.5*E13*E11^2*(E28+E32*E27^2)</f>
        <v>126.98672461149354</v>
      </c>
      <c r="F33" s="21">
        <f>0.5*F13*F11^2*(F28+F32*F27^2)</f>
        <v>116.28691892283032</v>
      </c>
      <c r="G33" s="21">
        <f t="shared" ref="G33:K33" si="1">0.5*G13*G11^2*(G28+G32*G27^2)</f>
        <v>107.6416052620183</v>
      </c>
      <c r="H33" s="21">
        <f t="shared" ref="H33:I33" si="2">0.5*H13*H11^2*(H28+H32*H27^2)</f>
        <v>107.6416052620183</v>
      </c>
      <c r="I33" s="21">
        <f t="shared" si="2"/>
        <v>107.6416052620183</v>
      </c>
      <c r="J33" s="21">
        <f t="shared" si="1"/>
        <v>116.28691892283032</v>
      </c>
      <c r="K33" s="21">
        <f t="shared" si="1"/>
        <v>107.6416052620183</v>
      </c>
      <c r="L33" s="11"/>
    </row>
    <row r="34" spans="1:12" x14ac:dyDescent="0.25">
      <c r="A34" s="14"/>
      <c r="B34" s="12" t="s">
        <v>200</v>
      </c>
      <c r="C34" s="13" t="s">
        <v>201</v>
      </c>
      <c r="D34" s="13" t="s">
        <v>111</v>
      </c>
      <c r="E34" s="21"/>
      <c r="F34" s="21"/>
      <c r="G34" s="21"/>
      <c r="H34" s="21"/>
      <c r="I34" s="21"/>
      <c r="J34" s="21">
        <v>2500</v>
      </c>
      <c r="K34" s="21">
        <v>2500</v>
      </c>
      <c r="L34" s="11"/>
    </row>
    <row r="35" spans="1:12" x14ac:dyDescent="0.25">
      <c r="A35" s="11"/>
      <c r="B35" s="12" t="s">
        <v>140</v>
      </c>
      <c r="C35" s="13" t="s">
        <v>144</v>
      </c>
      <c r="D35" s="13"/>
      <c r="E35" s="23">
        <f>E30/E16-E4</f>
        <v>0.18857142857142858</v>
      </c>
      <c r="F35" s="23">
        <f>F30/F16-F4</f>
        <v>0.18857142857142858</v>
      </c>
      <c r="G35" s="23">
        <f>G30/G16-G4</f>
        <v>0.18857142857142858</v>
      </c>
      <c r="H35" s="23">
        <f>H30/H16-H4</f>
        <v>0.22666666666666671</v>
      </c>
      <c r="I35" s="23">
        <f>I30/I16-I4</f>
        <v>0.28000000000000008</v>
      </c>
      <c r="J35" s="23">
        <f>J30/J16-J4</f>
        <v>0.18857142857142858</v>
      </c>
      <c r="K35" s="23">
        <f>K30/K16-K4</f>
        <v>0.18857142857142858</v>
      </c>
      <c r="L35" s="11" t="s">
        <v>145</v>
      </c>
    </row>
    <row r="36" spans="1:12" x14ac:dyDescent="0.25">
      <c r="A36" s="11"/>
      <c r="B36" s="12" t="s">
        <v>141</v>
      </c>
      <c r="C36" s="13" t="s">
        <v>109</v>
      </c>
      <c r="D36" s="13"/>
      <c r="E36" s="24">
        <f>E13/(2*E16/E18)*(-E28-E32*E27^2+E4*E27)</f>
        <v>-7.6901474308033497E-5</v>
      </c>
      <c r="F36" s="24">
        <f>F13/(2*F16/F18)*(-F28-F32*F27^2+F4*F27)</f>
        <v>-6.9662557644589872E-5</v>
      </c>
      <c r="G36" s="24">
        <f t="shared" ref="G36:K36" si="3">G13/(2*G16/G18)*(-G28-G32*G27^2+G4*G27)</f>
        <v>-6.3502899353513187E-5</v>
      </c>
      <c r="H36" s="24">
        <f t="shared" ref="H36:I36" si="4">H13/(2*H16/H18)*(-H28-H32*H27^2+H4*H27)</f>
        <v>-7.4086715912432061E-5</v>
      </c>
      <c r="I36" s="24">
        <f t="shared" si="4"/>
        <v>-8.8904059094918481E-5</v>
      </c>
      <c r="J36" s="24">
        <f t="shared" si="3"/>
        <v>-6.9662557644589872E-5</v>
      </c>
      <c r="K36" s="24">
        <f t="shared" si="3"/>
        <v>-6.3502899353513187E-5</v>
      </c>
      <c r="L36" s="11" t="s">
        <v>189</v>
      </c>
    </row>
    <row r="37" spans="1:12" x14ac:dyDescent="0.25">
      <c r="A37" s="11"/>
      <c r="B37" s="18" t="s">
        <v>177</v>
      </c>
      <c r="C37" s="13" t="s">
        <v>184</v>
      </c>
      <c r="D37" s="13" t="s">
        <v>19</v>
      </c>
      <c r="E37" s="20">
        <f>IF(E12="Takeoff",0,E11)</f>
        <v>0</v>
      </c>
      <c r="F37" s="20">
        <f>IF(F12="Takeoff",0,F11)</f>
        <v>0</v>
      </c>
      <c r="G37" s="20">
        <f>IF(G12="Takeoff",0,G11)</f>
        <v>0</v>
      </c>
      <c r="H37" s="20">
        <f>IF(H12="Takeoff",0,H11)</f>
        <v>0</v>
      </c>
      <c r="I37" s="20">
        <f>IF(I12="Takeoff",0,I11)</f>
        <v>0</v>
      </c>
      <c r="J37" s="20">
        <f>IF(J12="Takeoff",0,J11)</f>
        <v>29.539400000000008</v>
      </c>
      <c r="K37" s="20">
        <f>IF(K12="Takeoff",0,K11)</f>
        <v>29.539400000000008</v>
      </c>
      <c r="L37" s="11"/>
    </row>
    <row r="38" spans="1:12" x14ac:dyDescent="0.25">
      <c r="A38" s="11"/>
      <c r="B38" s="18" t="s">
        <v>183</v>
      </c>
      <c r="C38" s="13" t="s">
        <v>185</v>
      </c>
      <c r="D38" s="13" t="s">
        <v>19</v>
      </c>
      <c r="E38" s="20">
        <f>IF(E12="Takeoff",E11,0)</f>
        <v>29.539400000000008</v>
      </c>
      <c r="F38" s="20">
        <f>IF(F12="Takeoff",F11,0)</f>
        <v>29.539400000000008</v>
      </c>
      <c r="G38" s="20">
        <f>IF(G12="Takeoff",G11,0)</f>
        <v>29.539400000000008</v>
      </c>
      <c r="H38" s="20">
        <f>IF(H12="Takeoff",H11,0)</f>
        <v>29.539400000000008</v>
      </c>
      <c r="I38" s="20">
        <f>IF(I12="Takeoff",I11,0)</f>
        <v>29.539400000000008</v>
      </c>
      <c r="J38" s="20">
        <f>IF(J12="Takeoff",J11,0)</f>
        <v>0</v>
      </c>
      <c r="K38" s="20">
        <f>IF(K12="Takeoff",K11,0)</f>
        <v>0</v>
      </c>
      <c r="L38" s="11"/>
    </row>
    <row r="39" spans="1:12" x14ac:dyDescent="0.25">
      <c r="A39" s="11"/>
      <c r="B39" s="18" t="s">
        <v>198</v>
      </c>
      <c r="C39" s="13" t="s">
        <v>205</v>
      </c>
      <c r="D39" s="13" t="s">
        <v>111</v>
      </c>
      <c r="E39" s="24">
        <f>IF(E12="Takeoff",E30-E4*E16,IF(E12="Landing",E34+E4*E16,0))</f>
        <v>5871.6525321438612</v>
      </c>
      <c r="F39" s="24">
        <f>IF(F12="Takeoff",F30-F4*F16,IF(F12="Landing",F34+F4*F16,0))</f>
        <v>5871.6525321438612</v>
      </c>
      <c r="G39" s="24">
        <f t="shared" ref="G39:K39" si="5">IF(G12="Takeoff",G30-G4*G16,IF(G12="Landing",G34+G4*G16,0))</f>
        <v>5871.6525321438612</v>
      </c>
      <c r="H39" s="24">
        <f t="shared" ref="H39:I39" si="6">IF(H12="Takeoff",H30-H4*H16,IF(H12="Landing",H34+H4*H16,0))</f>
        <v>6049.5813967542817</v>
      </c>
      <c r="I39" s="24">
        <f t="shared" si="6"/>
        <v>6227.5102613647014</v>
      </c>
      <c r="J39" s="24">
        <f t="shared" si="5"/>
        <v>3745.5020522729401</v>
      </c>
      <c r="K39" s="24">
        <f t="shared" si="5"/>
        <v>3745.5020522729401</v>
      </c>
      <c r="L39" s="11" t="s">
        <v>286</v>
      </c>
    </row>
    <row r="40" spans="1:12" x14ac:dyDescent="0.25">
      <c r="A40" s="11"/>
      <c r="B40" s="18" t="s">
        <v>197</v>
      </c>
      <c r="C40" s="13" t="s">
        <v>206</v>
      </c>
      <c r="D40" s="13" t="s">
        <v>111</v>
      </c>
      <c r="E40" s="24">
        <f>IF(E12="Takeoff",E30-E33,IF(E12="Landing",E34+E33,0))</f>
        <v>6990.1678598053077</v>
      </c>
      <c r="F40" s="24">
        <f>IF(F12="Takeoff",F30-F33,IF(F12="Landing",F34+F33,0))</f>
        <v>7000.8676654939709</v>
      </c>
      <c r="G40" s="24">
        <f t="shared" ref="G40:K40" si="7">IF(G12="Takeoff",G30-G33,IF(G12="Landing",G34+G33,0))</f>
        <v>7009.5129791547834</v>
      </c>
      <c r="H40" s="24">
        <f t="shared" ref="H40:I40" si="8">IF(H12="Takeoff",H30-H33,IF(H12="Landing",H34+H33,0))</f>
        <v>7009.5129791547834</v>
      </c>
      <c r="I40" s="24">
        <f t="shared" si="8"/>
        <v>7009.5129791547834</v>
      </c>
      <c r="J40" s="24">
        <f t="shared" si="7"/>
        <v>2616.2869189228304</v>
      </c>
      <c r="K40" s="24">
        <f t="shared" si="7"/>
        <v>2607.6416052620184</v>
      </c>
      <c r="L40" s="11" t="s">
        <v>287</v>
      </c>
    </row>
    <row r="41" spans="1:12" x14ac:dyDescent="0.25">
      <c r="A41" s="11"/>
      <c r="B41" s="26" t="s">
        <v>208</v>
      </c>
      <c r="C41" s="13" t="s">
        <v>195</v>
      </c>
      <c r="D41" s="13" t="s">
        <v>108</v>
      </c>
      <c r="E41" s="21">
        <f>1/(2*E3*E36)*LN((E35+E36*E11^2)/(E35+E36*(0)^2))</f>
        <v>291.59975351982928</v>
      </c>
      <c r="F41" s="21">
        <f>1/(2*F3*F36)*LN((F35+F36*F11^2)/(F35+F36*(0)^2))</f>
        <v>284.79825809711127</v>
      </c>
      <c r="G41" s="21">
        <f t="shared" ref="G41:K41" si="9">1/(2*G3*G36)*LN((G35+G36*G11^2)/(G35+G36*(0)^2))</f>
        <v>279.34380395140857</v>
      </c>
      <c r="H41" s="21">
        <f t="shared" ref="H41:I41" si="10">1/(2*H3*H36)*LN((H35+H36*H11^2)/(H35+H36*(0)^2))</f>
        <v>231.06595605694349</v>
      </c>
      <c r="I41" s="21">
        <f t="shared" si="10"/>
        <v>186.05411608362704</v>
      </c>
      <c r="J41" s="21">
        <f t="shared" si="9"/>
        <v>284.79825809711127</v>
      </c>
      <c r="K41" s="21">
        <f t="shared" si="9"/>
        <v>279.34380395140857</v>
      </c>
      <c r="L41" s="11" t="s">
        <v>288</v>
      </c>
    </row>
    <row r="42" spans="1:12" x14ac:dyDescent="0.25">
      <c r="A42" s="11"/>
      <c r="B42" s="27"/>
      <c r="C42" s="13" t="s">
        <v>196</v>
      </c>
      <c r="D42" s="13" t="s">
        <v>100</v>
      </c>
      <c r="E42" s="21">
        <f>E41*CONVERT(1,"m","ft")</f>
        <v>956.69210472384941</v>
      </c>
      <c r="F42" s="21">
        <f>F41*CONVERT(1,"m","ft")</f>
        <v>934.377487195247</v>
      </c>
      <c r="G42" s="123">
        <f>G41*CONVERT(1,"m","ft")</f>
        <v>916.48229642850583</v>
      </c>
      <c r="H42" s="123">
        <f>H41*CONVERT(1,"m","ft")</f>
        <v>758.09040701096944</v>
      </c>
      <c r="I42" s="123">
        <f>I41*CONVERT(1,"m","ft")</f>
        <v>610.41376667856639</v>
      </c>
      <c r="J42" s="21">
        <f>J41*CONVERT(1,"m","ft")</f>
        <v>934.377487195247</v>
      </c>
      <c r="K42" s="21">
        <f>K41*CONVERT(1,"m","ft")</f>
        <v>916.48229642850583</v>
      </c>
      <c r="L42" s="11"/>
    </row>
    <row r="43" spans="1:12" x14ac:dyDescent="0.25">
      <c r="A43" s="11"/>
      <c r="B43" s="26" t="s">
        <v>207</v>
      </c>
      <c r="C43" s="13" t="s">
        <v>195</v>
      </c>
      <c r="D43" s="13" t="s">
        <v>108</v>
      </c>
      <c r="E43" s="21">
        <f>E16/(2*E3)*E11^2/(E39-E40)*LN(E39/E40)</f>
        <v>215.95491979093546</v>
      </c>
      <c r="F43" s="21">
        <f>F16/(2*F3)*F11^2/(F39-F40)*LN(F39/F40)</f>
        <v>215.78501441995758</v>
      </c>
      <c r="G43" s="21">
        <f>G16/(2*G3)*G11^2/(G39-G40)*LN(G39/G40)</f>
        <v>215.64798934700372</v>
      </c>
      <c r="H43" s="21">
        <f>H16/(2*H3)*H11^2/(H39-H40)*LN(H39/H40)</f>
        <v>182.17606073853543</v>
      </c>
      <c r="I43" s="21">
        <f>I16/(2*I3)*I11^2/(I39-I40)*LN(I39/I40)</f>
        <v>149.67689323189063</v>
      </c>
      <c r="J43" s="21">
        <f t="shared" ref="G43:K43" si="11">J16/(2*J3)*J11^2/(J39-J40)*LN(J39/J40)</f>
        <v>440.16178873290289</v>
      </c>
      <c r="K43" s="21">
        <f t="shared" si="11"/>
        <v>440.84709847539006</v>
      </c>
      <c r="L43" s="11" t="s">
        <v>289</v>
      </c>
    </row>
    <row r="44" spans="1:12" x14ac:dyDescent="0.25">
      <c r="A44" s="11"/>
      <c r="B44" s="27"/>
      <c r="C44" s="13" t="s">
        <v>196</v>
      </c>
      <c r="D44" s="13" t="s">
        <v>100</v>
      </c>
      <c r="E44" s="21">
        <f>E43*CONVERT(1,"m","ft")</f>
        <v>708.51351637446021</v>
      </c>
      <c r="F44" s="21">
        <f>F43*CONVERT(1,"m","ft")</f>
        <v>707.95608405497899</v>
      </c>
      <c r="G44" s="21">
        <f>G43*CONVERT(1,"m","ft")</f>
        <v>707.50652672901481</v>
      </c>
      <c r="H44" s="21">
        <f>H43*CONVERT(1,"m","ft")</f>
        <v>597.69048798732092</v>
      </c>
      <c r="I44" s="21">
        <f>I43*CONVERT(1,"m","ft")</f>
        <v>491.06592267680657</v>
      </c>
      <c r="J44" s="21">
        <f>J43*CONVERT(1,"m","ft")</f>
        <v>1444.1003567352457</v>
      </c>
      <c r="K44" s="21">
        <f>K43*CONVERT(1,"m","ft")</f>
        <v>1446.3487482788389</v>
      </c>
      <c r="L44" s="11"/>
    </row>
  </sheetData>
  <mergeCells count="11">
    <mergeCell ref="A5:A13"/>
    <mergeCell ref="A17:A32"/>
    <mergeCell ref="A14:A16"/>
    <mergeCell ref="B21:B22"/>
    <mergeCell ref="B19:B20"/>
    <mergeCell ref="B29:B30"/>
    <mergeCell ref="B41:B42"/>
    <mergeCell ref="B43:B44"/>
    <mergeCell ref="B14:B16"/>
    <mergeCell ref="B17:B18"/>
    <mergeCell ref="B10:B11"/>
  </mergeCells>
  <pageMargins left="0.7" right="0.7" top="0.75" bottom="0.75" header="0.3" footer="0.3"/>
  <pageSetup paperSize="9" orientation="portrait" horizontalDpi="4294967293" verticalDpi="0" r:id="rId1"/>
  <ignoredErrors>
    <ignoredError sqref="J43:K43 F43:G4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D28C-126C-44D0-9AA9-6FE011C6A288}">
  <dimension ref="A2:E44"/>
  <sheetViews>
    <sheetView zoomScaleNormal="100" workbookViewId="0">
      <selection activeCell="E29" sqref="E29"/>
    </sheetView>
  </sheetViews>
  <sheetFormatPr defaultRowHeight="14.5" x14ac:dyDescent="0.25"/>
  <cols>
    <col min="1" max="1" width="19.08984375" style="5" bestFit="1" customWidth="1"/>
    <col min="2" max="2" width="30.453125" style="10" bestFit="1" customWidth="1"/>
    <col min="3" max="3" width="12.453125" style="9" bestFit="1" customWidth="1"/>
    <col min="4" max="4" width="8.7265625" style="9"/>
    <col min="5" max="5" width="8.7265625" style="9" customWidth="1"/>
    <col min="6" max="16384" width="8.7265625" style="5"/>
  </cols>
  <sheetData>
    <row r="2" spans="1:5" x14ac:dyDescent="0.25">
      <c r="A2" s="11"/>
      <c r="E2" s="25"/>
    </row>
    <row r="3" spans="1:5" x14ac:dyDescent="0.25">
      <c r="A3" s="11"/>
      <c r="B3" s="12" t="s">
        <v>178</v>
      </c>
      <c r="C3" s="13" t="s">
        <v>120</v>
      </c>
      <c r="D3" s="13" t="s">
        <v>110</v>
      </c>
      <c r="E3" s="13">
        <v>9.8066499999999994</v>
      </c>
    </row>
    <row r="4" spans="1:5" x14ac:dyDescent="0.25">
      <c r="A4" s="11"/>
      <c r="B4" s="12" t="s">
        <v>179</v>
      </c>
      <c r="C4" s="13" t="s">
        <v>105</v>
      </c>
      <c r="D4" s="13"/>
      <c r="E4" s="13">
        <v>0.04</v>
      </c>
    </row>
    <row r="5" spans="1:5" x14ac:dyDescent="0.25">
      <c r="A5" s="32" t="s">
        <v>122</v>
      </c>
      <c r="B5" s="12"/>
      <c r="C5" s="13"/>
      <c r="D5" s="13"/>
      <c r="E5" s="13"/>
    </row>
    <row r="6" spans="1:5" x14ac:dyDescent="0.25">
      <c r="A6" s="33"/>
      <c r="B6" s="17" t="s">
        <v>124</v>
      </c>
      <c r="C6" s="13" t="s">
        <v>219</v>
      </c>
      <c r="D6" s="13" t="s">
        <v>100</v>
      </c>
      <c r="E6" s="13">
        <v>4000</v>
      </c>
    </row>
    <row r="7" spans="1:5" x14ac:dyDescent="0.25">
      <c r="A7" s="33"/>
      <c r="B7" s="17" t="s">
        <v>123</v>
      </c>
      <c r="C7" s="13" t="s">
        <v>220</v>
      </c>
      <c r="D7" s="13" t="s">
        <v>121</v>
      </c>
      <c r="E7" s="13">
        <v>15</v>
      </c>
    </row>
    <row r="8" spans="1:5" x14ac:dyDescent="0.25">
      <c r="A8" s="33"/>
      <c r="B8" s="28" t="s">
        <v>146</v>
      </c>
      <c r="C8" s="13" t="s">
        <v>138</v>
      </c>
      <c r="D8" s="13" t="s">
        <v>107</v>
      </c>
      <c r="E8" s="13"/>
    </row>
    <row r="9" spans="1:5" x14ac:dyDescent="0.25">
      <c r="A9" s="33"/>
      <c r="B9" s="30"/>
      <c r="C9" s="13" t="s">
        <v>216</v>
      </c>
      <c r="D9" s="13" t="s">
        <v>19</v>
      </c>
      <c r="E9" s="20">
        <f>SQRT(2*E17/(E14*E19*E27))</f>
        <v>47.61904761904762</v>
      </c>
    </row>
    <row r="10" spans="1:5" x14ac:dyDescent="0.25">
      <c r="A10" s="33"/>
      <c r="B10" s="17" t="s">
        <v>163</v>
      </c>
      <c r="C10" s="13"/>
      <c r="D10" s="13"/>
      <c r="E10" s="13">
        <v>1.2</v>
      </c>
    </row>
    <row r="11" spans="1:5" x14ac:dyDescent="0.25">
      <c r="A11" s="33"/>
      <c r="B11" s="31" t="s">
        <v>125</v>
      </c>
      <c r="C11" s="13" t="s">
        <v>218</v>
      </c>
      <c r="D11" s="13" t="s">
        <v>107</v>
      </c>
      <c r="E11" s="20">
        <f>E8*E10</f>
        <v>0</v>
      </c>
    </row>
    <row r="12" spans="1:5" x14ac:dyDescent="0.25">
      <c r="A12" s="33"/>
      <c r="B12" s="31"/>
      <c r="C12" s="13" t="s">
        <v>217</v>
      </c>
      <c r="D12" s="13" t="s">
        <v>19</v>
      </c>
      <c r="E12" s="20">
        <f>E9*E10</f>
        <v>57.142857142857146</v>
      </c>
    </row>
    <row r="13" spans="1:5" x14ac:dyDescent="0.25">
      <c r="A13" s="33"/>
      <c r="B13" s="17" t="s">
        <v>162</v>
      </c>
      <c r="C13" s="13"/>
      <c r="D13" s="13"/>
      <c r="E13" s="13" t="s">
        <v>103</v>
      </c>
    </row>
    <row r="14" spans="1:5" x14ac:dyDescent="0.25">
      <c r="A14" s="34"/>
      <c r="B14" s="12" t="s">
        <v>180</v>
      </c>
      <c r="C14" s="13" t="s">
        <v>119</v>
      </c>
      <c r="D14" s="13" t="s">
        <v>112</v>
      </c>
      <c r="E14" s="13">
        <v>1.2250000000000001</v>
      </c>
    </row>
    <row r="15" spans="1:5" x14ac:dyDescent="0.25">
      <c r="A15" s="32" t="s">
        <v>128</v>
      </c>
      <c r="B15" s="28" t="s">
        <v>133</v>
      </c>
      <c r="C15" s="13" t="s">
        <v>135</v>
      </c>
      <c r="D15" s="13" t="s">
        <v>106</v>
      </c>
      <c r="E15" s="13"/>
    </row>
    <row r="16" spans="1:5" x14ac:dyDescent="0.25">
      <c r="A16" s="33"/>
      <c r="B16" s="29"/>
      <c r="C16" s="13" t="s">
        <v>134</v>
      </c>
      <c r="D16" s="13" t="s">
        <v>10</v>
      </c>
      <c r="E16" s="21"/>
    </row>
    <row r="17" spans="1:5" x14ac:dyDescent="0.25">
      <c r="A17" s="34"/>
      <c r="B17" s="30"/>
      <c r="C17" s="13" t="s">
        <v>161</v>
      </c>
      <c r="D17" s="13" t="s">
        <v>111</v>
      </c>
      <c r="E17" s="21">
        <v>50000</v>
      </c>
    </row>
    <row r="18" spans="1:5" x14ac:dyDescent="0.25">
      <c r="A18" s="32" t="s">
        <v>129</v>
      </c>
      <c r="B18" s="31" t="s">
        <v>113</v>
      </c>
      <c r="C18" s="13" t="s">
        <v>116</v>
      </c>
      <c r="D18" s="13" t="s">
        <v>117</v>
      </c>
      <c r="E18" s="13"/>
    </row>
    <row r="19" spans="1:5" x14ac:dyDescent="0.25">
      <c r="A19" s="33"/>
      <c r="B19" s="31"/>
      <c r="C19" s="13" t="s">
        <v>115</v>
      </c>
      <c r="D19" s="13" t="s">
        <v>114</v>
      </c>
      <c r="E19" s="20">
        <v>30</v>
      </c>
    </row>
    <row r="20" spans="1:5" x14ac:dyDescent="0.25">
      <c r="A20" s="33"/>
      <c r="B20" s="26" t="s">
        <v>172</v>
      </c>
      <c r="C20" s="13" t="s">
        <v>173</v>
      </c>
      <c r="D20" s="13" t="s">
        <v>100</v>
      </c>
      <c r="E20" s="20"/>
    </row>
    <row r="21" spans="1:5" x14ac:dyDescent="0.25">
      <c r="A21" s="33"/>
      <c r="B21" s="27"/>
      <c r="C21" s="13" t="s">
        <v>174</v>
      </c>
      <c r="D21" s="13" t="s">
        <v>108</v>
      </c>
      <c r="E21" s="20">
        <f>E20*CONVERT(1,"ft","m")</f>
        <v>0</v>
      </c>
    </row>
    <row r="22" spans="1:5" x14ac:dyDescent="0.25">
      <c r="A22" s="33"/>
      <c r="B22" s="26" t="s">
        <v>181</v>
      </c>
      <c r="C22" s="13" t="s">
        <v>168</v>
      </c>
      <c r="D22" s="13" t="s">
        <v>100</v>
      </c>
      <c r="E22" s="13">
        <v>5</v>
      </c>
    </row>
    <row r="23" spans="1:5" x14ac:dyDescent="0.25">
      <c r="A23" s="33"/>
      <c r="B23" s="27"/>
      <c r="C23" s="13" t="s">
        <v>169</v>
      </c>
      <c r="D23" s="13" t="s">
        <v>108</v>
      </c>
      <c r="E23" s="13">
        <f>E22*CONVERT(1,"ft","m")</f>
        <v>1.524</v>
      </c>
    </row>
    <row r="24" spans="1:5" x14ac:dyDescent="0.25">
      <c r="A24" s="33"/>
      <c r="B24" s="19" t="s">
        <v>170</v>
      </c>
      <c r="C24" s="13" t="s">
        <v>171</v>
      </c>
      <c r="D24" s="13" t="s">
        <v>18</v>
      </c>
      <c r="E24" s="13">
        <f>E21^2/E19</f>
        <v>0</v>
      </c>
    </row>
    <row r="25" spans="1:5" x14ac:dyDescent="0.25">
      <c r="A25" s="33"/>
      <c r="B25" s="12" t="s">
        <v>130</v>
      </c>
      <c r="C25" s="13" t="s">
        <v>136</v>
      </c>
      <c r="D25" s="13" t="s">
        <v>131</v>
      </c>
      <c r="E25" s="13">
        <v>10</v>
      </c>
    </row>
    <row r="26" spans="1:5" x14ac:dyDescent="0.25">
      <c r="A26" s="33"/>
      <c r="B26" s="12" t="s">
        <v>132</v>
      </c>
      <c r="C26" s="13" t="s">
        <v>137</v>
      </c>
      <c r="D26" s="13" t="s">
        <v>131</v>
      </c>
      <c r="E26" s="13">
        <v>30</v>
      </c>
    </row>
    <row r="27" spans="1:5" x14ac:dyDescent="0.25">
      <c r="A27" s="33"/>
      <c r="B27" s="17" t="s">
        <v>165</v>
      </c>
      <c r="C27" s="13" t="s">
        <v>175</v>
      </c>
      <c r="D27" s="13" t="s">
        <v>18</v>
      </c>
      <c r="E27" s="22">
        <v>1.2</v>
      </c>
    </row>
    <row r="28" spans="1:5" x14ac:dyDescent="0.25">
      <c r="A28" s="33"/>
      <c r="B28" s="17" t="s">
        <v>187</v>
      </c>
      <c r="C28" s="13"/>
      <c r="D28" s="13"/>
      <c r="E28" s="22">
        <v>0.625</v>
      </c>
    </row>
    <row r="29" spans="1:5" x14ac:dyDescent="0.25">
      <c r="A29" s="33"/>
      <c r="B29" s="12" t="s">
        <v>164</v>
      </c>
      <c r="C29" s="13" t="s">
        <v>176</v>
      </c>
      <c r="D29" s="13" t="s">
        <v>18</v>
      </c>
      <c r="E29" s="13">
        <v>0.02</v>
      </c>
    </row>
    <row r="30" spans="1:5" x14ac:dyDescent="0.25">
      <c r="A30" s="33"/>
      <c r="B30" s="26" t="s">
        <v>166</v>
      </c>
      <c r="C30" s="13" t="s">
        <v>202</v>
      </c>
      <c r="D30" s="13" t="s">
        <v>143</v>
      </c>
      <c r="E30" s="13"/>
    </row>
    <row r="31" spans="1:5" x14ac:dyDescent="0.25">
      <c r="A31" s="33"/>
      <c r="B31" s="27"/>
      <c r="C31" s="13" t="s">
        <v>203</v>
      </c>
      <c r="D31" s="13" t="s">
        <v>111</v>
      </c>
      <c r="E31" s="21">
        <v>14500</v>
      </c>
    </row>
    <row r="32" spans="1:5" x14ac:dyDescent="0.25">
      <c r="A32" s="34"/>
      <c r="B32" s="12" t="s">
        <v>182</v>
      </c>
      <c r="C32" s="13" t="s">
        <v>221</v>
      </c>
      <c r="D32" s="13" t="s">
        <v>18</v>
      </c>
      <c r="E32" s="23">
        <v>0.04</v>
      </c>
    </row>
    <row r="33" spans="1:5" x14ac:dyDescent="0.25">
      <c r="A33" s="14"/>
      <c r="B33" s="12" t="s">
        <v>199</v>
      </c>
      <c r="C33" s="13" t="s">
        <v>204</v>
      </c>
      <c r="D33" s="13" t="s">
        <v>111</v>
      </c>
      <c r="E33" s="21">
        <f>0.5*E14*E12^2*E19*(E29+E32*E28^2)</f>
        <v>2137.5000000000005</v>
      </c>
    </row>
    <row r="34" spans="1:5" x14ac:dyDescent="0.25">
      <c r="A34" s="14"/>
      <c r="B34" s="12" t="s">
        <v>200</v>
      </c>
      <c r="C34" s="13" t="s">
        <v>201</v>
      </c>
      <c r="D34" s="13" t="s">
        <v>111</v>
      </c>
      <c r="E34" s="21"/>
    </row>
    <row r="35" spans="1:5" x14ac:dyDescent="0.25">
      <c r="A35" s="11"/>
      <c r="B35" s="12" t="s">
        <v>140</v>
      </c>
      <c r="C35" s="13" t="s">
        <v>144</v>
      </c>
      <c r="D35" s="13"/>
      <c r="E35" s="23">
        <f>E31/E17-E4</f>
        <v>0.24999999999999997</v>
      </c>
    </row>
    <row r="36" spans="1:5" x14ac:dyDescent="0.25">
      <c r="A36" s="11"/>
      <c r="B36" s="12" t="s">
        <v>141</v>
      </c>
      <c r="C36" s="13" t="s">
        <v>109</v>
      </c>
      <c r="D36" s="13"/>
      <c r="E36" s="24">
        <f>E14/(2*E17/E19)*(-E29-E32*E28^2+E4*E28)</f>
        <v>-3.9046875000000009E-6</v>
      </c>
    </row>
    <row r="37" spans="1:5" x14ac:dyDescent="0.25">
      <c r="A37" s="11"/>
      <c r="B37" s="18" t="s">
        <v>177</v>
      </c>
      <c r="C37" s="13" t="s">
        <v>184</v>
      </c>
      <c r="D37" s="13" t="s">
        <v>19</v>
      </c>
      <c r="E37" s="24">
        <f>IF(E13="Takeoff",0,E12)</f>
        <v>0</v>
      </c>
    </row>
    <row r="38" spans="1:5" x14ac:dyDescent="0.25">
      <c r="A38" s="11"/>
      <c r="B38" s="18" t="s">
        <v>183</v>
      </c>
      <c r="C38" s="13" t="s">
        <v>185</v>
      </c>
      <c r="D38" s="13" t="s">
        <v>19</v>
      </c>
      <c r="E38" s="24">
        <f>IF(E13="Takeoff",E12,0)</f>
        <v>57.142857142857146</v>
      </c>
    </row>
    <row r="39" spans="1:5" x14ac:dyDescent="0.25">
      <c r="A39" s="11"/>
      <c r="B39" s="18" t="s">
        <v>198</v>
      </c>
      <c r="C39" s="13" t="s">
        <v>205</v>
      </c>
      <c r="D39" s="13" t="s">
        <v>111</v>
      </c>
      <c r="E39" s="21">
        <f>IF(E13="Takeoff",E31-E4*E17,IF(E13="Landing",E34+E4*E17,0))</f>
        <v>12500</v>
      </c>
    </row>
    <row r="40" spans="1:5" x14ac:dyDescent="0.25">
      <c r="A40" s="11"/>
      <c r="B40" s="18" t="s">
        <v>197</v>
      </c>
      <c r="C40" s="13" t="s">
        <v>206</v>
      </c>
      <c r="D40" s="13" t="s">
        <v>111</v>
      </c>
      <c r="E40" s="21">
        <f>IF(E13="Takeoff",E31-E33,IF(E13="Landing",E34+E33,0))</f>
        <v>12362.5</v>
      </c>
    </row>
    <row r="41" spans="1:5" x14ac:dyDescent="0.25">
      <c r="A41" s="11"/>
      <c r="B41" s="26" t="s">
        <v>208</v>
      </c>
      <c r="C41" s="13" t="s">
        <v>195</v>
      </c>
      <c r="D41" s="13" t="s">
        <v>108</v>
      </c>
      <c r="E41" s="21">
        <f>1/(2*E3*E36)*LN((E35+E36*E12^2)/(E35+E36*(0)^2))</f>
        <v>683.51890808000189</v>
      </c>
    </row>
    <row r="42" spans="1:5" x14ac:dyDescent="0.25">
      <c r="A42" s="11"/>
      <c r="B42" s="27"/>
      <c r="C42" s="13" t="s">
        <v>196</v>
      </c>
      <c r="D42" s="13" t="s">
        <v>100</v>
      </c>
      <c r="E42" s="21">
        <f>E41*CONVERT(1,"m","ft")</f>
        <v>2242.5161026246783</v>
      </c>
    </row>
    <row r="43" spans="1:5" x14ac:dyDescent="0.25">
      <c r="A43" s="11"/>
      <c r="B43" s="26" t="s">
        <v>207</v>
      </c>
      <c r="C43" s="13" t="s">
        <v>195</v>
      </c>
      <c r="D43" s="13" t="s">
        <v>108</v>
      </c>
      <c r="E43" s="21">
        <f>E17/(2*E3)*E12^2/(E39-E40)*LN(E39/E40)</f>
        <v>669.62685585460792</v>
      </c>
    </row>
    <row r="44" spans="1:5" x14ac:dyDescent="0.25">
      <c r="A44" s="11"/>
      <c r="B44" s="27"/>
      <c r="C44" s="13" t="s">
        <v>196</v>
      </c>
      <c r="D44" s="13" t="s">
        <v>100</v>
      </c>
      <c r="E44" s="21">
        <f>E43*CONVERT(1,"m","ft")</f>
        <v>2196.93850346</v>
      </c>
    </row>
  </sheetData>
  <mergeCells count="12">
    <mergeCell ref="B41:B42"/>
    <mergeCell ref="B43:B44"/>
    <mergeCell ref="B8:B9"/>
    <mergeCell ref="A5:A14"/>
    <mergeCell ref="B11:B12"/>
    <mergeCell ref="A15:A17"/>
    <mergeCell ref="B15:B17"/>
    <mergeCell ref="A18:A32"/>
    <mergeCell ref="B18:B19"/>
    <mergeCell ref="B20:B21"/>
    <mergeCell ref="B22:B23"/>
    <mergeCell ref="B30:B3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4D13-E91F-4162-B421-CD8A7D74F85F}">
  <dimension ref="C3:K3"/>
  <sheetViews>
    <sheetView workbookViewId="0">
      <selection activeCell="K3" sqref="K3"/>
    </sheetView>
  </sheetViews>
  <sheetFormatPr defaultRowHeight="14" x14ac:dyDescent="0.25"/>
  <cols>
    <col min="2" max="2" width="20.90625" customWidth="1"/>
  </cols>
  <sheetData>
    <row r="3" spans="3:11" x14ac:dyDescent="0.25">
      <c r="C3" t="s">
        <v>209</v>
      </c>
      <c r="D3" t="s">
        <v>103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K3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5AC9-B46A-4E83-B22F-8E08B28DC316}">
  <dimension ref="A1:J27"/>
  <sheetViews>
    <sheetView zoomScale="105" workbookViewId="0">
      <selection activeCell="C33" sqref="C33"/>
    </sheetView>
  </sheetViews>
  <sheetFormatPr defaultColWidth="8.7265625" defaultRowHeight="14.5" x14ac:dyDescent="0.35"/>
  <cols>
    <col min="1" max="1" width="19.453125" style="1" bestFit="1" customWidth="1"/>
    <col min="2" max="2" width="34" style="1" bestFit="1" customWidth="1"/>
    <col min="3" max="3" width="13.90625" style="1" bestFit="1" customWidth="1"/>
    <col min="4" max="4" width="11" style="1" bestFit="1" customWidth="1"/>
    <col min="5" max="5" width="8.7265625" style="1"/>
    <col min="6" max="6" width="9" style="1" bestFit="1" customWidth="1"/>
    <col min="7" max="7" width="17.90625" style="1" bestFit="1" customWidth="1"/>
    <col min="8" max="16384" width="8.7265625" style="1"/>
  </cols>
  <sheetData>
    <row r="1" spans="1:10" x14ac:dyDescent="0.35">
      <c r="B1" s="1" t="s">
        <v>65</v>
      </c>
      <c r="C1" s="1" t="s">
        <v>64</v>
      </c>
      <c r="D1" s="1" t="s">
        <v>17</v>
      </c>
      <c r="E1" s="1">
        <v>1.2250000000000001</v>
      </c>
    </row>
    <row r="2" spans="1:10" x14ac:dyDescent="0.35">
      <c r="A2" s="1" t="s">
        <v>7</v>
      </c>
    </row>
    <row r="3" spans="1:10" x14ac:dyDescent="0.35">
      <c r="B3" s="1" t="s">
        <v>90</v>
      </c>
      <c r="C3" s="1" t="s">
        <v>8</v>
      </c>
      <c r="D3" s="1" t="s">
        <v>18</v>
      </c>
      <c r="E3" s="1">
        <v>1.6</v>
      </c>
      <c r="G3" s="1" t="s">
        <v>21</v>
      </c>
      <c r="H3" s="1" t="s">
        <v>60</v>
      </c>
      <c r="I3" s="2">
        <f>Vs_1_ms^2*rho_kgm3*CLmax/2</f>
        <v>933.69608888888911</v>
      </c>
    </row>
    <row r="4" spans="1:10" x14ac:dyDescent="0.35">
      <c r="B4" s="1" t="s">
        <v>91</v>
      </c>
      <c r="C4" s="1" t="s">
        <v>89</v>
      </c>
      <c r="D4" s="1" t="s">
        <v>18</v>
      </c>
      <c r="H4" s="1" t="s">
        <v>61</v>
      </c>
      <c r="I4" s="2">
        <f>Vs_1_ms^2*rho_kgm3*CLmax/2/9.8</f>
        <v>95.27511111111113</v>
      </c>
    </row>
    <row r="5" spans="1:10" x14ac:dyDescent="0.35">
      <c r="B5" s="1" t="s">
        <v>92</v>
      </c>
      <c r="C5" s="1" t="s">
        <v>16</v>
      </c>
      <c r="D5" s="1" t="s">
        <v>18</v>
      </c>
      <c r="E5" s="2">
        <v>2</v>
      </c>
      <c r="H5" s="1" t="s">
        <v>22</v>
      </c>
      <c r="I5" s="2">
        <f>Vs_1_ms^2*rho_kgm3*CLmax/2/9.81 *CONVERT(1,"kg","lbm")/(CONVERT(1,"m","ft"))^2</f>
        <v>19.493989015459068</v>
      </c>
    </row>
    <row r="6" spans="1:10" x14ac:dyDescent="0.35">
      <c r="B6" s="1" t="s">
        <v>66</v>
      </c>
      <c r="C6" s="1" t="s">
        <v>25</v>
      </c>
      <c r="D6" s="1" t="s">
        <v>19</v>
      </c>
      <c r="E6" s="2">
        <f>Vs_0_ms</f>
        <v>25.722222222222225</v>
      </c>
      <c r="G6" s="1" t="s">
        <v>20</v>
      </c>
      <c r="H6" s="1" t="s">
        <v>60</v>
      </c>
      <c r="I6" s="2">
        <f>Vs_0_ms^2*rho_kgm3*CLmax_to/2</f>
        <v>810.50007716049413</v>
      </c>
    </row>
    <row r="7" spans="1:10" x14ac:dyDescent="0.35">
      <c r="B7" s="1" t="s">
        <v>67</v>
      </c>
      <c r="C7" s="1" t="s">
        <v>26</v>
      </c>
      <c r="D7" s="1" t="s">
        <v>27</v>
      </c>
      <c r="E7" s="2">
        <f>Vs_1_ms</f>
        <v>30.866666666666667</v>
      </c>
      <c r="H7" s="1" t="s">
        <v>61</v>
      </c>
      <c r="I7" s="2">
        <f>Vs_0_ms^2*rho_kgm3*CLmax_to/2/9.8</f>
        <v>82.704089506172863</v>
      </c>
    </row>
    <row r="8" spans="1:10" x14ac:dyDescent="0.35">
      <c r="H8" s="1" t="s">
        <v>22</v>
      </c>
      <c r="I8" s="2">
        <f>Vs_0_ms^2*rho_kgm3*CLmax_to/2/9.81 *CONVERT(1,"kg","lbm")/(CONVERT(1,"m","ft"))^2</f>
        <v>16.921865464808221</v>
      </c>
    </row>
    <row r="9" spans="1:10" x14ac:dyDescent="0.35">
      <c r="A9" s="1" t="s">
        <v>29</v>
      </c>
    </row>
    <row r="10" spans="1:10" x14ac:dyDescent="0.35">
      <c r="B10" s="1" t="s">
        <v>83</v>
      </c>
      <c r="C10" s="1" t="s">
        <v>82</v>
      </c>
      <c r="D10" s="1" t="s">
        <v>84</v>
      </c>
      <c r="E10" s="4">
        <v>0.86160000000000003</v>
      </c>
      <c r="J10" s="1" t="s">
        <v>86</v>
      </c>
    </row>
    <row r="11" spans="1:10" x14ac:dyDescent="0.35">
      <c r="B11" s="1" t="s">
        <v>81</v>
      </c>
      <c r="C11" s="1" t="s">
        <v>78</v>
      </c>
      <c r="D11" s="1" t="s">
        <v>80</v>
      </c>
      <c r="E11" s="2">
        <f>(-4.9+SQRT(4.9^2-4*0.009*(-S_TOG_ft)))/(2*0.009)</f>
        <v>158.14512015254027</v>
      </c>
      <c r="G11" s="1" t="s">
        <v>85</v>
      </c>
      <c r="I11" s="1">
        <v>10</v>
      </c>
      <c r="J11" s="2">
        <f>MIN(E11:E12)/I11*E10*CLmax_to</f>
        <v>25.087293216689879</v>
      </c>
    </row>
    <row r="12" spans="1:10" x14ac:dyDescent="0.35">
      <c r="B12" s="1" t="s">
        <v>81</v>
      </c>
      <c r="C12" s="1" t="s">
        <v>79</v>
      </c>
      <c r="D12" s="1" t="s">
        <v>80</v>
      </c>
      <c r="E12" s="2">
        <f>(-8.134+SQRT(8.134^2-4*0.0149*(-S_TO_ft)))/(2*0.0149)</f>
        <v>145.58549916834889</v>
      </c>
      <c r="I12" s="1">
        <v>20</v>
      </c>
      <c r="J12" s="2">
        <f>MIN(E11:E12)/I12*E10*CLmax_to</f>
        <v>12.54364660834494</v>
      </c>
    </row>
    <row r="13" spans="1:10" x14ac:dyDescent="0.35">
      <c r="B13" s="1" t="s">
        <v>88</v>
      </c>
      <c r="G13" s="2"/>
      <c r="I13" s="1">
        <v>30</v>
      </c>
      <c r="J13" s="2">
        <f>MIN(E11:E12)/I13*E10*CLmax_to</f>
        <v>8.3624310722299597</v>
      </c>
    </row>
    <row r="15" spans="1:10" x14ac:dyDescent="0.35">
      <c r="F15" s="3"/>
      <c r="G15" s="3"/>
    </row>
    <row r="22" spans="2:3" x14ac:dyDescent="0.35">
      <c r="B22" s="1" t="s">
        <v>68</v>
      </c>
      <c r="C22" s="1" t="s">
        <v>62</v>
      </c>
    </row>
    <row r="23" spans="2:3" x14ac:dyDescent="0.35">
      <c r="B23" s="1" t="s">
        <v>69</v>
      </c>
      <c r="C23" s="1" t="s">
        <v>63</v>
      </c>
    </row>
    <row r="24" spans="2:3" x14ac:dyDescent="0.35">
      <c r="B24" s="1" t="s">
        <v>70</v>
      </c>
      <c r="C24" s="1" t="s">
        <v>71</v>
      </c>
    </row>
    <row r="25" spans="2:3" x14ac:dyDescent="0.35">
      <c r="B25" s="1" t="s">
        <v>72</v>
      </c>
      <c r="C25" s="1" t="s">
        <v>73</v>
      </c>
    </row>
    <row r="26" spans="2:3" x14ac:dyDescent="0.35">
      <c r="B26" s="1" t="s">
        <v>74</v>
      </c>
      <c r="C26" s="1" t="s">
        <v>75</v>
      </c>
    </row>
    <row r="27" spans="2:3" x14ac:dyDescent="0.35">
      <c r="B27" s="1" t="s">
        <v>76</v>
      </c>
      <c r="C27" s="1" t="s">
        <v>77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8E33-D274-4CB3-8A11-180F7B41DEB9}">
  <dimension ref="A1:Y111"/>
  <sheetViews>
    <sheetView topLeftCell="A28" workbookViewId="0">
      <selection activeCell="V56" sqref="V56"/>
    </sheetView>
  </sheetViews>
  <sheetFormatPr defaultColWidth="8.7265625" defaultRowHeight="14.5" x14ac:dyDescent="0.25"/>
  <cols>
    <col min="1" max="1" width="3.1796875" style="9" customWidth="1"/>
    <col min="2" max="3" width="3.1796875" style="5" customWidth="1"/>
    <col min="4" max="4" width="17.453125" style="5" customWidth="1"/>
    <col min="5" max="5" width="3.08984375" style="37" customWidth="1"/>
    <col min="6" max="6" width="12.90625" style="5" bestFit="1" customWidth="1"/>
    <col min="7" max="7" width="10.7265625" style="5" bestFit="1" customWidth="1"/>
    <col min="8" max="9" width="8.7265625" style="5"/>
    <col min="10" max="10" width="3.453125" style="37" customWidth="1"/>
    <col min="11" max="11" width="12.90625" style="5" bestFit="1" customWidth="1"/>
    <col min="12" max="12" width="10.7265625" style="5" bestFit="1" customWidth="1"/>
    <col min="13" max="14" width="8.7265625" style="5"/>
    <col min="15" max="15" width="3.453125" style="5" customWidth="1"/>
    <col min="16" max="16" width="12.90625" style="5" bestFit="1" customWidth="1"/>
    <col min="17" max="19" width="8.7265625" style="5"/>
    <col min="20" max="20" width="3.36328125" style="5" customWidth="1"/>
    <col min="21" max="21" width="12.90625" style="5" bestFit="1" customWidth="1"/>
    <col min="22" max="16384" width="8.7265625" style="5"/>
  </cols>
  <sheetData>
    <row r="1" spans="1:25" x14ac:dyDescent="0.25">
      <c r="B1" s="16"/>
      <c r="F1" s="5" t="s">
        <v>278</v>
      </c>
      <c r="K1" s="5" t="s">
        <v>279</v>
      </c>
    </row>
    <row r="2" spans="1:25" ht="15" thickBot="1" x14ac:dyDescent="0.3">
      <c r="K2" s="63" t="s">
        <v>268</v>
      </c>
      <c r="L2" s="62">
        <v>2.25</v>
      </c>
    </row>
    <row r="3" spans="1:25" ht="29" customHeight="1" thickBot="1" x14ac:dyDescent="0.3">
      <c r="B3" s="37"/>
      <c r="C3" s="37"/>
      <c r="D3" s="37"/>
      <c r="F3" s="71" t="s">
        <v>280</v>
      </c>
      <c r="G3" s="72"/>
      <c r="H3" s="72"/>
      <c r="I3" s="73"/>
      <c r="K3" s="71" t="s">
        <v>281</v>
      </c>
      <c r="L3" s="72"/>
      <c r="M3" s="72"/>
      <c r="N3" s="73"/>
      <c r="O3" s="37"/>
      <c r="P3" s="51" t="s">
        <v>259</v>
      </c>
      <c r="Q3" s="52"/>
      <c r="R3" s="52"/>
      <c r="S3" s="53"/>
      <c r="T3" s="37"/>
      <c r="U3" s="54" t="s">
        <v>258</v>
      </c>
      <c r="V3" s="55"/>
      <c r="W3" s="55"/>
      <c r="X3" s="56"/>
    </row>
    <row r="4" spans="1:25" s="9" customFormat="1" ht="29.5" thickBot="1" x14ac:dyDescent="0.3">
      <c r="A4" s="9" t="s">
        <v>260</v>
      </c>
      <c r="B4" s="114" t="s">
        <v>223</v>
      </c>
      <c r="C4" s="115"/>
      <c r="D4" s="116"/>
      <c r="E4" s="36"/>
      <c r="F4" s="117" t="s">
        <v>254</v>
      </c>
      <c r="G4" s="118" t="s">
        <v>256</v>
      </c>
      <c r="H4" s="118" t="s">
        <v>255</v>
      </c>
      <c r="I4" s="119" t="s">
        <v>257</v>
      </c>
      <c r="J4" s="35"/>
      <c r="K4" s="117" t="s">
        <v>254</v>
      </c>
      <c r="L4" s="118" t="s">
        <v>256</v>
      </c>
      <c r="M4" s="118" t="s">
        <v>255</v>
      </c>
      <c r="N4" s="119" t="s">
        <v>257</v>
      </c>
      <c r="O4" s="35"/>
      <c r="P4" s="120" t="s">
        <v>254</v>
      </c>
      <c r="Q4" s="118" t="s">
        <v>256</v>
      </c>
      <c r="R4" s="118" t="s">
        <v>255</v>
      </c>
      <c r="S4" s="118" t="s">
        <v>257</v>
      </c>
      <c r="T4" s="35"/>
      <c r="U4" s="120" t="s">
        <v>254</v>
      </c>
      <c r="V4" s="118" t="s">
        <v>256</v>
      </c>
      <c r="W4" s="118" t="s">
        <v>255</v>
      </c>
      <c r="X4" s="118" t="s">
        <v>257</v>
      </c>
      <c r="Y4" s="25"/>
    </row>
    <row r="5" spans="1:25" x14ac:dyDescent="0.25">
      <c r="A5" s="9">
        <v>1</v>
      </c>
      <c r="B5" s="111" t="s">
        <v>224</v>
      </c>
      <c r="C5" s="112"/>
      <c r="D5" s="113"/>
      <c r="F5" s="74" cm="1">
        <f t="array" ref="F5">SUM(($A6:$A12=2)*F6:F12)</f>
        <v>2548.1999999999998</v>
      </c>
      <c r="G5" s="39" cm="1">
        <f t="array" ref="G5">SUMPRODUCT(($A6:$A12=2)*F6:F12, G6:G12)/F5</f>
        <v>265.80394788478145</v>
      </c>
      <c r="H5" s="39" cm="1">
        <f t="array" ref="H5">SUMPRODUCT(($A6:$A12=2)*F6:F12, H6:H12)/F5</f>
        <v>0</v>
      </c>
      <c r="I5" s="75" cm="1">
        <f t="array" ref="I5">SUMPRODUCT(($A6:$A12=2)*F6:F12, I6:I12)/F5</f>
        <v>102.35525861392357</v>
      </c>
      <c r="K5" s="74" cm="1">
        <f t="array" ref="K5">SUM(($A6:$A12=2)*K6:K12)</f>
        <v>2548.1999999999998</v>
      </c>
      <c r="L5" s="39" cm="1">
        <f t="array" ref="L5">SUMPRODUCT(($A6:$A12=2)*K6:K12, L6:L12)/K5</f>
        <v>267.19843222666981</v>
      </c>
      <c r="M5" s="39" cm="1">
        <f t="array" ref="M5">SUMPRODUCT(($A6:$A12=2)*K6:K12, M6:M12)/K5</f>
        <v>0</v>
      </c>
      <c r="N5" s="75" cm="1">
        <f t="array" ref="N5">SUMPRODUCT(($A6:$A12=2)*K6:K12, N6:N12)/K5</f>
        <v>102.35525861392357</v>
      </c>
      <c r="O5" s="37"/>
      <c r="P5" s="38">
        <f>SUM(P6:P9)</f>
        <v>2409.3000000000002</v>
      </c>
      <c r="Q5" s="39">
        <f>SUMPRODUCT(P6:P9, Q6:Q9)/P5</f>
        <v>266.8229153696094</v>
      </c>
      <c r="R5" s="39">
        <f>SUMPRODUCT(P6:P9, R6:R9)/P5</f>
        <v>0</v>
      </c>
      <c r="S5" s="39">
        <f>SUMPRODUCT(P6:P9, S6:S9)/P5</f>
        <v>102.44038517411695</v>
      </c>
      <c r="T5" s="37"/>
      <c r="U5" s="38">
        <f>SUM(U6:U9)</f>
        <v>2409.3000000000002</v>
      </c>
      <c r="V5" s="39">
        <f>SUMPRODUCT(U6:U9, V6:V9)/U5</f>
        <v>266.8229153696094</v>
      </c>
      <c r="W5" s="39">
        <f>SUMPRODUCT(U6:U9, W6:W9)/U5</f>
        <v>0</v>
      </c>
      <c r="X5" s="39">
        <f>SUMPRODUCT(U6:U9, X6:X9)/U5</f>
        <v>102.44038517411695</v>
      </c>
    </row>
    <row r="6" spans="1:25" x14ac:dyDescent="0.25">
      <c r="A6" s="9">
        <v>2</v>
      </c>
      <c r="B6" s="79"/>
      <c r="C6" s="11" t="s">
        <v>225</v>
      </c>
      <c r="D6" s="87"/>
      <c r="F6" s="76">
        <v>1076.3</v>
      </c>
      <c r="G6" s="65">
        <v>258.5</v>
      </c>
      <c r="H6" s="41">
        <v>0</v>
      </c>
      <c r="I6" s="77">
        <v>117.4</v>
      </c>
      <c r="K6" s="76">
        <v>1076.3</v>
      </c>
      <c r="L6" s="65">
        <f>258.5+L2</f>
        <v>260.75</v>
      </c>
      <c r="M6" s="41">
        <v>0</v>
      </c>
      <c r="N6" s="77">
        <v>117.4</v>
      </c>
      <c r="O6" s="37"/>
      <c r="P6" s="40">
        <v>999.4</v>
      </c>
      <c r="Q6" s="40">
        <v>259</v>
      </c>
      <c r="R6" s="40">
        <v>0</v>
      </c>
      <c r="S6" s="40">
        <v>117.1</v>
      </c>
      <c r="T6" s="37"/>
      <c r="U6" s="40">
        <v>999.4</v>
      </c>
      <c r="V6" s="40">
        <v>259</v>
      </c>
      <c r="W6" s="40">
        <v>0</v>
      </c>
      <c r="X6" s="40">
        <v>117.1</v>
      </c>
    </row>
    <row r="7" spans="1:25" x14ac:dyDescent="0.25">
      <c r="A7" s="9">
        <v>2</v>
      </c>
      <c r="B7" s="79"/>
      <c r="C7" s="11" t="s">
        <v>226</v>
      </c>
      <c r="D7" s="87"/>
      <c r="F7" s="78">
        <v>183</v>
      </c>
      <c r="G7" s="41">
        <v>392</v>
      </c>
      <c r="H7" s="41">
        <v>0</v>
      </c>
      <c r="I7" s="77">
        <v>116.5</v>
      </c>
      <c r="K7" s="78">
        <v>183</v>
      </c>
      <c r="L7" s="41">
        <v>392</v>
      </c>
      <c r="M7" s="41">
        <v>0</v>
      </c>
      <c r="N7" s="77">
        <v>116.5</v>
      </c>
      <c r="O7" s="37"/>
      <c r="P7" s="40">
        <v>183</v>
      </c>
      <c r="Q7" s="40">
        <v>392</v>
      </c>
      <c r="R7" s="40">
        <v>0</v>
      </c>
      <c r="S7" s="40">
        <v>116.5</v>
      </c>
      <c r="T7" s="37"/>
      <c r="U7" s="40">
        <v>183</v>
      </c>
      <c r="V7" s="40">
        <v>392</v>
      </c>
      <c r="W7" s="40">
        <v>0</v>
      </c>
      <c r="X7" s="40">
        <v>116.5</v>
      </c>
    </row>
    <row r="8" spans="1:25" x14ac:dyDescent="0.25">
      <c r="A8" s="9">
        <v>2</v>
      </c>
      <c r="B8" s="79"/>
      <c r="C8" s="59" t="s">
        <v>227</v>
      </c>
      <c r="D8" s="101"/>
      <c r="F8" s="79">
        <v>649.6</v>
      </c>
      <c r="G8" s="41">
        <v>261.3</v>
      </c>
      <c r="H8" s="41">
        <v>0</v>
      </c>
      <c r="I8" s="77">
        <v>106</v>
      </c>
      <c r="K8" s="79">
        <v>649.6</v>
      </c>
      <c r="L8" s="41">
        <v>261.3</v>
      </c>
      <c r="M8" s="41">
        <v>0</v>
      </c>
      <c r="N8" s="77">
        <v>106</v>
      </c>
      <c r="O8" s="37"/>
      <c r="P8" s="40">
        <v>649.6</v>
      </c>
      <c r="Q8" s="40">
        <v>261.3</v>
      </c>
      <c r="R8" s="40">
        <v>0</v>
      </c>
      <c r="S8" s="40">
        <v>106</v>
      </c>
      <c r="T8" s="37"/>
      <c r="U8" s="40">
        <v>649.6</v>
      </c>
      <c r="V8" s="40">
        <v>261.3</v>
      </c>
      <c r="W8" s="40">
        <v>0</v>
      </c>
      <c r="X8" s="40">
        <v>106</v>
      </c>
    </row>
    <row r="9" spans="1:25" x14ac:dyDescent="0.25">
      <c r="A9" s="9">
        <v>2</v>
      </c>
      <c r="B9" s="79"/>
      <c r="C9" s="11" t="s">
        <v>228</v>
      </c>
      <c r="D9" s="87"/>
      <c r="F9" s="80" cm="1">
        <f t="array" ref="F9">SUM(($A10:$A12=3)*F10:F12)</f>
        <v>639.29999999999995</v>
      </c>
      <c r="G9" s="43" cm="1">
        <f t="array" ref="G9">SUMPRODUCT(($A10:$A12=3)*F10:F12, G10:G12)/F9</f>
        <v>246.55340215861099</v>
      </c>
      <c r="H9" s="43" cm="1">
        <f t="array" ref="H9">SUMPRODUCT(($A10:$A12=3)*F10:F12, H10:H12)/F9</f>
        <v>0</v>
      </c>
      <c r="I9" s="81" cm="1">
        <f t="array" ref="I9">SUMPRODUCT(($A10:$A12=3)*F10:F12, I10:I12)/F9</f>
        <v>69.274127952447998</v>
      </c>
      <c r="K9" s="80" cm="1">
        <f t="array" ref="K9">SUM(($A10:$A12=3)*K10:K12)</f>
        <v>639.29999999999995</v>
      </c>
      <c r="L9" s="43" cm="1">
        <f t="array" ref="L9">SUMPRODUCT(($A10:$A12=3)*K10:K12, L10:L12)/K9</f>
        <v>248.3236977944627</v>
      </c>
      <c r="M9" s="43" cm="1">
        <f t="array" ref="M9">SUMPRODUCT(($A10:$A12=3)*K10:K12, M10:M12)/K9</f>
        <v>0</v>
      </c>
      <c r="N9" s="81" cm="1">
        <f t="array" ref="N9">SUMPRODUCT(($A10:$A12=3)*K10:K12, N10:N12)/K9</f>
        <v>69.274127952447998</v>
      </c>
      <c r="O9" s="37"/>
      <c r="P9" s="40">
        <v>577.29999999999995</v>
      </c>
      <c r="Q9" s="40">
        <v>246.9</v>
      </c>
      <c r="R9" s="40">
        <v>0</v>
      </c>
      <c r="S9" s="40">
        <v>68.599999999999994</v>
      </c>
      <c r="T9" s="37"/>
      <c r="U9" s="40">
        <v>577.29999999999995</v>
      </c>
      <c r="V9" s="40">
        <v>246.9</v>
      </c>
      <c r="W9" s="40">
        <v>0</v>
      </c>
      <c r="X9" s="40">
        <v>68.599999999999994</v>
      </c>
    </row>
    <row r="10" spans="1:25" x14ac:dyDescent="0.25">
      <c r="A10" s="9">
        <v>3</v>
      </c>
      <c r="B10" s="79"/>
      <c r="C10" s="11"/>
      <c r="D10" s="87" t="s">
        <v>229</v>
      </c>
      <c r="F10" s="79">
        <v>136.30000000000001</v>
      </c>
      <c r="G10" s="41">
        <v>166.3</v>
      </c>
      <c r="H10" s="41">
        <v>0</v>
      </c>
      <c r="I10" s="77">
        <v>72.5</v>
      </c>
      <c r="K10" s="79">
        <v>136.30000000000001</v>
      </c>
      <c r="L10" s="41">
        <v>166.3</v>
      </c>
      <c r="M10" s="41">
        <v>0</v>
      </c>
      <c r="N10" s="77">
        <v>72.5</v>
      </c>
      <c r="O10" s="37"/>
      <c r="P10" s="40">
        <v>124.3</v>
      </c>
      <c r="Q10" s="40">
        <v>166.6</v>
      </c>
      <c r="R10" s="40">
        <v>0</v>
      </c>
      <c r="S10" s="40">
        <v>72</v>
      </c>
      <c r="T10" s="37"/>
      <c r="U10" s="40">
        <v>124.3</v>
      </c>
      <c r="V10" s="40">
        <v>166.6</v>
      </c>
      <c r="W10" s="40">
        <v>0</v>
      </c>
      <c r="X10" s="40">
        <v>72</v>
      </c>
    </row>
    <row r="11" spans="1:25" x14ac:dyDescent="0.25">
      <c r="A11" s="9">
        <v>3</v>
      </c>
      <c r="B11" s="79"/>
      <c r="C11" s="11"/>
      <c r="D11" s="87" t="s">
        <v>231</v>
      </c>
      <c r="F11" s="79">
        <v>251.5</v>
      </c>
      <c r="G11" s="65">
        <v>268.3</v>
      </c>
      <c r="H11" s="41">
        <v>-39.200000000000003</v>
      </c>
      <c r="I11" s="77">
        <v>68.400000000000006</v>
      </c>
      <c r="K11" s="79">
        <v>251.5</v>
      </c>
      <c r="L11" s="65">
        <f>268.3+L2</f>
        <v>270.55</v>
      </c>
      <c r="M11" s="41">
        <v>-39.200000000000003</v>
      </c>
      <c r="N11" s="77">
        <v>68.400000000000006</v>
      </c>
      <c r="O11" s="37"/>
      <c r="P11" s="40">
        <v>226.5</v>
      </c>
      <c r="Q11" s="40">
        <v>268.89999999999998</v>
      </c>
      <c r="R11" s="40">
        <v>-39.700000000000003</v>
      </c>
      <c r="S11" s="40">
        <v>67.7</v>
      </c>
      <c r="T11" s="37"/>
      <c r="U11" s="40">
        <v>226.5</v>
      </c>
      <c r="V11" s="40">
        <v>268.89999999999998</v>
      </c>
      <c r="W11" s="40">
        <v>-39.700000000000003</v>
      </c>
      <c r="X11" s="40">
        <v>67.7</v>
      </c>
    </row>
    <row r="12" spans="1:25" x14ac:dyDescent="0.25">
      <c r="A12" s="9">
        <v>3</v>
      </c>
      <c r="B12" s="79"/>
      <c r="C12" s="11"/>
      <c r="D12" s="87" t="s">
        <v>230</v>
      </c>
      <c r="F12" s="79">
        <v>251.5</v>
      </c>
      <c r="G12" s="65">
        <v>268.3</v>
      </c>
      <c r="H12" s="41">
        <v>39.200000000000003</v>
      </c>
      <c r="I12" s="77">
        <v>68.400000000000006</v>
      </c>
      <c r="K12" s="79">
        <v>251.5</v>
      </c>
      <c r="L12" s="65">
        <f>268.3+L2</f>
        <v>270.55</v>
      </c>
      <c r="M12" s="41">
        <v>39.200000000000003</v>
      </c>
      <c r="N12" s="77">
        <v>68.400000000000006</v>
      </c>
      <c r="O12" s="37"/>
      <c r="P12" s="40">
        <v>226.5</v>
      </c>
      <c r="Q12" s="40">
        <v>268.89999999999998</v>
      </c>
      <c r="R12" s="40">
        <v>39.700000000000003</v>
      </c>
      <c r="S12" s="40">
        <v>67.7</v>
      </c>
      <c r="T12" s="37"/>
      <c r="U12" s="40">
        <v>226.5</v>
      </c>
      <c r="V12" s="40">
        <v>268.89999999999998</v>
      </c>
      <c r="W12" s="40">
        <v>39.700000000000003</v>
      </c>
      <c r="X12" s="40">
        <v>67.7</v>
      </c>
    </row>
    <row r="13" spans="1:25" x14ac:dyDescent="0.25">
      <c r="A13" s="9">
        <v>1</v>
      </c>
      <c r="B13" s="99" t="s">
        <v>232</v>
      </c>
      <c r="C13" s="60"/>
      <c r="D13" s="100"/>
      <c r="F13" s="74" cm="1">
        <f t="array" ref="F13">SUM(($A14:$A15=2)*F14:F15)</f>
        <v>624.1</v>
      </c>
      <c r="G13" s="39" cm="1">
        <f t="array" ref="G13">SUMPRODUCT(($A14:$A15=2)*F14:F15, G14:G15)/F13</f>
        <v>377.68593174170803</v>
      </c>
      <c r="H13" s="39" cm="1">
        <f t="array" ref="H13">SUMPRODUCT(($A14:$A15=2)*F14:F15, H14:H15)/F13</f>
        <v>0.5</v>
      </c>
      <c r="I13" s="75" cm="1">
        <f t="array" ref="I13">SUMPRODUCT(($A14:$A15=2)*F14:F15, I14:I15)/F13</f>
        <v>107.41535010414999</v>
      </c>
      <c r="K13" s="74" cm="1">
        <f t="array" ref="K13">SUM(($A14:$A15=2)*K14:K15)</f>
        <v>624.1</v>
      </c>
      <c r="L13" s="39" cm="1">
        <f t="array" ref="L13">SUMPRODUCT(($A14:$A15=2)*K14:K15, L14:L15)/K13</f>
        <v>377.68593174170803</v>
      </c>
      <c r="M13" s="39" cm="1">
        <f t="array" ref="M13">SUMPRODUCT(($A14:$A15=2)*K14:K15, M14:M15)/K13</f>
        <v>0.5</v>
      </c>
      <c r="N13" s="75" cm="1">
        <f t="array" ref="N13">SUMPRODUCT(($A14:$A15=2)*K14:K15, N14:N15)/K13</f>
        <v>107.41535010414999</v>
      </c>
      <c r="O13" s="37"/>
      <c r="P13" s="38">
        <f>SUM(P14:P15)</f>
        <v>628.1</v>
      </c>
      <c r="Q13" s="39">
        <f>SUMPRODUCT(P14:P15, Q14:Q15)/P13</f>
        <v>377.78191370800829</v>
      </c>
      <c r="R13" s="39">
        <f>SUMPRODUCT(P14:P15, R14:R15)/P13</f>
        <v>0.5</v>
      </c>
      <c r="S13" s="39">
        <f>SUMPRODUCT(P14:P15, S14:S15)/P13</f>
        <v>107.41397866581754</v>
      </c>
      <c r="T13" s="37"/>
      <c r="U13" s="38">
        <f>SUM(U14:U15)</f>
        <v>628.1</v>
      </c>
      <c r="V13" s="39">
        <f>SUMPRODUCT(U14:U15, V14:V15)/U13</f>
        <v>377.78191370800829</v>
      </c>
      <c r="W13" s="39">
        <f>SUMPRODUCT(U14:U15, W14:W15)/U13</f>
        <v>0.5</v>
      </c>
      <c r="X13" s="39">
        <f>SUMPRODUCT(U14:U15, X14:X15)/U13</f>
        <v>107.41397866581754</v>
      </c>
    </row>
    <row r="14" spans="1:25" x14ac:dyDescent="0.25">
      <c r="A14" s="9">
        <v>2</v>
      </c>
      <c r="B14" s="79"/>
      <c r="C14" s="11" t="s">
        <v>233</v>
      </c>
      <c r="D14" s="87"/>
      <c r="F14" s="79">
        <v>489.7</v>
      </c>
      <c r="G14" s="41">
        <v>405.1</v>
      </c>
      <c r="H14" s="41">
        <v>0.5</v>
      </c>
      <c r="I14" s="77">
        <v>107.2</v>
      </c>
      <c r="K14" s="79">
        <v>489.7</v>
      </c>
      <c r="L14" s="41">
        <v>405.1</v>
      </c>
      <c r="M14" s="41">
        <v>0.5</v>
      </c>
      <c r="N14" s="77">
        <v>107.2</v>
      </c>
      <c r="O14" s="37"/>
      <c r="P14" s="40">
        <v>493.7</v>
      </c>
      <c r="Q14" s="40">
        <v>405</v>
      </c>
      <c r="R14" s="40">
        <v>0.5</v>
      </c>
      <c r="S14" s="40">
        <v>107.2</v>
      </c>
      <c r="T14" s="37"/>
      <c r="U14" s="40">
        <v>493.7</v>
      </c>
      <c r="V14" s="40">
        <v>405</v>
      </c>
      <c r="W14" s="40">
        <v>0.5</v>
      </c>
      <c r="X14" s="40">
        <v>107.2</v>
      </c>
    </row>
    <row r="15" spans="1:25" x14ac:dyDescent="0.25">
      <c r="A15" s="9">
        <v>2</v>
      </c>
      <c r="B15" s="79"/>
      <c r="C15" s="11" t="s">
        <v>234</v>
      </c>
      <c r="D15" s="87"/>
      <c r="F15" s="79">
        <v>134.4</v>
      </c>
      <c r="G15" s="41">
        <v>277.8</v>
      </c>
      <c r="H15" s="41">
        <v>0.5</v>
      </c>
      <c r="I15" s="77">
        <v>108.2</v>
      </c>
      <c r="K15" s="79">
        <v>134.4</v>
      </c>
      <c r="L15" s="41">
        <v>277.8</v>
      </c>
      <c r="M15" s="41">
        <v>0.5</v>
      </c>
      <c r="N15" s="77">
        <v>108.2</v>
      </c>
      <c r="O15" s="37"/>
      <c r="P15" s="40">
        <v>134.4</v>
      </c>
      <c r="Q15" s="40">
        <v>277.8</v>
      </c>
      <c r="R15" s="40">
        <v>0.5</v>
      </c>
      <c r="S15" s="40">
        <v>108.2</v>
      </c>
      <c r="T15" s="37"/>
      <c r="U15" s="40">
        <v>134.4</v>
      </c>
      <c r="V15" s="40">
        <v>277.8</v>
      </c>
      <c r="W15" s="40">
        <v>0.5</v>
      </c>
      <c r="X15" s="40">
        <v>108.2</v>
      </c>
    </row>
    <row r="16" spans="1:25" x14ac:dyDescent="0.25">
      <c r="A16" s="9">
        <v>1</v>
      </c>
      <c r="B16" s="99" t="s">
        <v>235</v>
      </c>
      <c r="C16" s="60"/>
      <c r="D16" s="100"/>
      <c r="F16" s="74" cm="1">
        <f t="array" ref="F16">SUM(($A17:$A23=2)*F17:F23)</f>
        <v>905.6</v>
      </c>
      <c r="G16" s="39" cm="1">
        <f t="array" ref="G16">SUMPRODUCT(($A17:$A23=2)*F17:F23, G17:G23)/F16</f>
        <v>226.20025397526501</v>
      </c>
      <c r="H16" s="39" cm="1">
        <f t="array" ref="H16">SUMPRODUCT(($A17:$A23=2)*F17:F23, H17:H23)/F16</f>
        <v>1.3361196996466431</v>
      </c>
      <c r="I16" s="75" cm="1">
        <f t="array" ref="I16">SUMPRODUCT(($A17:$A23=2)*F17:F23, I17:I23)/F16</f>
        <v>103.50228577738517</v>
      </c>
      <c r="K16" s="74" cm="1">
        <f t="array" ref="K16">SUM(($A17:$A23=2)*K17:K23)</f>
        <v>905.6</v>
      </c>
      <c r="L16" s="39" cm="1">
        <f t="array" ref="L16">SUMPRODUCT(($A17:$A23=2)*K17:K23, L17:L23)/K16</f>
        <v>226.20025397526501</v>
      </c>
      <c r="M16" s="39" cm="1">
        <f t="array" ref="M16">SUMPRODUCT(($A17:$A23=2)*K17:K23, M17:M23)/K16</f>
        <v>1.3361196996466431</v>
      </c>
      <c r="N16" s="75" cm="1">
        <f t="array" ref="N16">SUMPRODUCT(($A17:$A23=2)*K17:K23, N17:N23)/K16</f>
        <v>103.50228577738517</v>
      </c>
      <c r="O16" s="37"/>
      <c r="P16" s="38">
        <f>SUM(P17:P18)</f>
        <v>844.59999999999991</v>
      </c>
      <c r="Q16" s="39">
        <f>SUMPRODUCT(P17:P18, Q17:Q18)/P16</f>
        <v>226.20117215249826</v>
      </c>
      <c r="R16" s="39">
        <f>SUMPRODUCT(P17:P18, R17:R18)/P16</f>
        <v>1.2559554818849161</v>
      </c>
      <c r="S16" s="39">
        <f>SUMPRODUCT(P17:P18, S17:S18)/P16</f>
        <v>103.76623253611179</v>
      </c>
      <c r="T16" s="37"/>
      <c r="U16" s="38">
        <f>SUM(U17:U18)</f>
        <v>844.59999999999991</v>
      </c>
      <c r="V16" s="39">
        <f>SUMPRODUCT(U17:U18, V17:V18)/U16</f>
        <v>226.20117215249826</v>
      </c>
      <c r="W16" s="39">
        <f>SUMPRODUCT(U17:U18, W17:W18)/U16</f>
        <v>1.2559554818849161</v>
      </c>
      <c r="X16" s="39">
        <f>SUMPRODUCT(U17:U18, X17:X18)/U16</f>
        <v>103.76623253611179</v>
      </c>
    </row>
    <row r="17" spans="1:24" x14ac:dyDescent="0.25">
      <c r="A17" s="9">
        <v>2</v>
      </c>
      <c r="B17" s="79"/>
      <c r="C17" s="11" t="s">
        <v>236</v>
      </c>
      <c r="D17" s="87"/>
      <c r="F17" s="79">
        <v>388.5</v>
      </c>
      <c r="G17" s="41">
        <v>256</v>
      </c>
      <c r="H17" s="41">
        <v>1.3</v>
      </c>
      <c r="I17" s="77">
        <v>101.9</v>
      </c>
      <c r="K17" s="79">
        <v>388.5</v>
      </c>
      <c r="L17" s="41">
        <v>256</v>
      </c>
      <c r="M17" s="41">
        <v>1.3</v>
      </c>
      <c r="N17" s="77">
        <v>101.9</v>
      </c>
      <c r="O17" s="37"/>
      <c r="P17" s="40">
        <v>308.5</v>
      </c>
      <c r="Q17" s="40">
        <v>256</v>
      </c>
      <c r="R17" s="40">
        <v>1.3</v>
      </c>
      <c r="S17" s="40">
        <v>101.9</v>
      </c>
      <c r="T17" s="37"/>
      <c r="U17" s="40">
        <v>308.5</v>
      </c>
      <c r="V17" s="40">
        <v>256</v>
      </c>
      <c r="W17" s="40">
        <v>1.3</v>
      </c>
      <c r="X17" s="40">
        <v>101.9</v>
      </c>
    </row>
    <row r="18" spans="1:24" x14ac:dyDescent="0.25">
      <c r="A18" s="9">
        <v>2</v>
      </c>
      <c r="B18" s="79"/>
      <c r="C18" s="11" t="s">
        <v>237</v>
      </c>
      <c r="D18" s="87"/>
      <c r="F18" s="80" cm="1">
        <f t="array" ref="F18">SUM(($A19:$A23=3)*F19:F23)</f>
        <v>517.1</v>
      </c>
      <c r="G18" s="43" cm="1">
        <f t="array" ref="G18">SUMPRODUCT(($A19:$A23=3)*F19:F23, G19:G23)/F18</f>
        <v>203.81154515567587</v>
      </c>
      <c r="H18" s="43" cm="1">
        <f t="array" ref="H18">SUMPRODUCT(($A19:$A23=3)*F19:F23, H19:H23)/F18</f>
        <v>1.3632566234770835</v>
      </c>
      <c r="I18" s="81" cm="1">
        <f t="array" ref="I18">SUMPRODUCT(($A19:$A23=3)*F19:F23, I19:I23)/F18</f>
        <v>104.70609166505511</v>
      </c>
      <c r="K18" s="80" cm="1">
        <f t="array" ref="K18">SUM(($A19:$A23=3)*K19:K23)</f>
        <v>517.1</v>
      </c>
      <c r="L18" s="43" cm="1">
        <f t="array" ref="L18">SUMPRODUCT(($A19:$A23=3)*K19:K23, L19:L23)/K18</f>
        <v>203.81154515567587</v>
      </c>
      <c r="M18" s="43" cm="1">
        <f t="array" ref="M18">SUMPRODUCT(($A19:$A23=3)*K19:K23, M19:M23)/K18</f>
        <v>1.3632566234770835</v>
      </c>
      <c r="N18" s="81" cm="1">
        <f t="array" ref="N18">SUMPRODUCT(($A19:$A23=3)*K19:K23, N19:N23)/K18</f>
        <v>104.70609166505511</v>
      </c>
      <c r="O18" s="37"/>
      <c r="P18" s="38">
        <f>SUM(P19:P23)</f>
        <v>536.09999999999991</v>
      </c>
      <c r="Q18" s="39">
        <f>SUMPRODUCT(P19:P23, Q19:Q23)/P18</f>
        <v>209.05336690915877</v>
      </c>
      <c r="R18" s="39">
        <f>SUMPRODUCT(P19:P23, R19:R23)/P18</f>
        <v>1.230609960828204</v>
      </c>
      <c r="S18" s="39">
        <f>SUMPRODUCT(P19:P23, S19:S23)/P18</f>
        <v>104.84016041783252</v>
      </c>
      <c r="T18" s="37"/>
      <c r="U18" s="38">
        <f>SUM(U19:U23)</f>
        <v>536.09999999999991</v>
      </c>
      <c r="V18" s="39">
        <f>SUMPRODUCT(U19:U23, V19:V23)/U18</f>
        <v>209.05336690915877</v>
      </c>
      <c r="W18" s="39">
        <f>SUMPRODUCT(U19:U23, W19:W23)/U18</f>
        <v>1.230609960828204</v>
      </c>
      <c r="X18" s="39">
        <f>SUMPRODUCT(U19:U23, X19:X23)/U18</f>
        <v>104.84016041783252</v>
      </c>
    </row>
    <row r="19" spans="1:24" x14ac:dyDescent="0.25">
      <c r="A19" s="9">
        <v>3</v>
      </c>
      <c r="B19" s="79"/>
      <c r="C19" s="11"/>
      <c r="D19" s="87" t="s">
        <v>238</v>
      </c>
      <c r="F19" s="79">
        <v>10.5</v>
      </c>
      <c r="G19" s="41">
        <v>154.6</v>
      </c>
      <c r="H19" s="41">
        <v>-16.600000000000001</v>
      </c>
      <c r="I19" s="77">
        <v>101.4</v>
      </c>
      <c r="K19" s="79">
        <v>10.5</v>
      </c>
      <c r="L19" s="41">
        <v>154.6</v>
      </c>
      <c r="M19" s="41">
        <v>-16.600000000000001</v>
      </c>
      <c r="N19" s="77">
        <v>101.4</v>
      </c>
      <c r="O19" s="37"/>
      <c r="P19" s="40">
        <v>10.5</v>
      </c>
      <c r="Q19" s="40">
        <v>154.6</v>
      </c>
      <c r="R19" s="40">
        <v>-16.600000000000001</v>
      </c>
      <c r="S19" s="40">
        <v>101.4</v>
      </c>
      <c r="T19" s="37"/>
      <c r="U19" s="40">
        <v>10.5</v>
      </c>
      <c r="V19" s="40">
        <v>154.6</v>
      </c>
      <c r="W19" s="40">
        <v>-16.600000000000001</v>
      </c>
      <c r="X19" s="40">
        <v>101.4</v>
      </c>
    </row>
    <row r="20" spans="1:24" x14ac:dyDescent="0.25">
      <c r="A20" s="9">
        <v>3</v>
      </c>
      <c r="B20" s="79"/>
      <c r="C20" s="11"/>
      <c r="D20" s="87" t="s">
        <v>239</v>
      </c>
      <c r="F20" s="79">
        <v>25.2</v>
      </c>
      <c r="G20" s="41">
        <v>139</v>
      </c>
      <c r="H20" s="41">
        <v>1.3</v>
      </c>
      <c r="I20" s="77">
        <v>89.5</v>
      </c>
      <c r="K20" s="79">
        <v>25.2</v>
      </c>
      <c r="L20" s="41">
        <v>139</v>
      </c>
      <c r="M20" s="41">
        <v>1.3</v>
      </c>
      <c r="N20" s="77">
        <v>89.5</v>
      </c>
      <c r="O20" s="37"/>
      <c r="P20" s="40">
        <v>25.2</v>
      </c>
      <c r="Q20" s="40">
        <v>139</v>
      </c>
      <c r="R20" s="40">
        <v>1.3</v>
      </c>
      <c r="S20" s="40">
        <v>89.5</v>
      </c>
      <c r="T20" s="37"/>
      <c r="U20" s="40">
        <v>25.2</v>
      </c>
      <c r="V20" s="40">
        <v>139</v>
      </c>
      <c r="W20" s="40">
        <v>1.3</v>
      </c>
      <c r="X20" s="40">
        <v>89.5</v>
      </c>
    </row>
    <row r="21" spans="1:24" x14ac:dyDescent="0.25">
      <c r="A21" s="9">
        <v>3</v>
      </c>
      <c r="B21" s="79"/>
      <c r="C21" s="11"/>
      <c r="D21" s="87" t="s">
        <v>240</v>
      </c>
      <c r="F21" s="79">
        <v>346.1</v>
      </c>
      <c r="G21" s="41">
        <v>167.3</v>
      </c>
      <c r="H21" s="41">
        <v>2.4</v>
      </c>
      <c r="I21" s="77">
        <v>103.1</v>
      </c>
      <c r="K21" s="79">
        <v>346.1</v>
      </c>
      <c r="L21" s="41">
        <v>167.3</v>
      </c>
      <c r="M21" s="41">
        <v>2.4</v>
      </c>
      <c r="N21" s="77">
        <v>103.1</v>
      </c>
      <c r="O21" s="37"/>
      <c r="P21" s="40">
        <v>353.5</v>
      </c>
      <c r="Q21" s="40">
        <v>170.6</v>
      </c>
      <c r="R21" s="40">
        <v>2.2999999999999998</v>
      </c>
      <c r="S21" s="40">
        <v>103.7</v>
      </c>
      <c r="T21" s="37"/>
      <c r="U21" s="40">
        <v>353.5</v>
      </c>
      <c r="V21" s="40">
        <v>170.6</v>
      </c>
      <c r="W21" s="40">
        <v>2.2999999999999998</v>
      </c>
      <c r="X21" s="40">
        <v>103.7</v>
      </c>
    </row>
    <row r="22" spans="1:24" x14ac:dyDescent="0.25">
      <c r="A22" s="9">
        <v>3</v>
      </c>
      <c r="B22" s="79"/>
      <c r="C22" s="11"/>
      <c r="D22" s="87" t="s">
        <v>241</v>
      </c>
      <c r="F22" s="79">
        <v>126.5</v>
      </c>
      <c r="G22" s="41">
        <v>317.60000000000002</v>
      </c>
      <c r="H22" s="41">
        <v>0</v>
      </c>
      <c r="I22" s="77">
        <v>111.5</v>
      </c>
      <c r="K22" s="79">
        <v>126.5</v>
      </c>
      <c r="L22" s="41">
        <v>317.60000000000002</v>
      </c>
      <c r="M22" s="41">
        <v>0</v>
      </c>
      <c r="N22" s="77">
        <v>111.5</v>
      </c>
      <c r="O22" s="37"/>
      <c r="P22" s="40">
        <v>138.1</v>
      </c>
      <c r="Q22" s="40">
        <v>321.89999999999998</v>
      </c>
      <c r="R22" s="40">
        <v>-0.2</v>
      </c>
      <c r="S22" s="40">
        <v>110</v>
      </c>
      <c r="T22" s="37"/>
      <c r="U22" s="40">
        <v>138.1</v>
      </c>
      <c r="V22" s="40">
        <v>321.89999999999998</v>
      </c>
      <c r="W22" s="40">
        <v>-0.2</v>
      </c>
      <c r="X22" s="40">
        <v>110</v>
      </c>
    </row>
    <row r="23" spans="1:24" x14ac:dyDescent="0.25">
      <c r="A23" s="9">
        <v>3</v>
      </c>
      <c r="B23" s="79"/>
      <c r="C23" s="11"/>
      <c r="D23" s="87" t="s">
        <v>242</v>
      </c>
      <c r="F23" s="82">
        <v>8.8000000000000007</v>
      </c>
      <c r="G23" s="58">
        <v>248.4</v>
      </c>
      <c r="H23" s="58">
        <v>1.8</v>
      </c>
      <c r="I23" s="83">
        <v>117.7</v>
      </c>
      <c r="K23" s="82">
        <v>8.8000000000000007</v>
      </c>
      <c r="L23" s="58">
        <v>248.4</v>
      </c>
      <c r="M23" s="58">
        <v>1.8</v>
      </c>
      <c r="N23" s="83">
        <v>117.7</v>
      </c>
      <c r="O23" s="37"/>
      <c r="P23" s="40">
        <v>8.8000000000000007</v>
      </c>
      <c r="Q23" s="40">
        <v>248.4</v>
      </c>
      <c r="R23" s="40">
        <v>1.8</v>
      </c>
      <c r="S23" s="40">
        <v>117.7</v>
      </c>
      <c r="T23" s="37"/>
      <c r="U23" s="40">
        <v>8.8000000000000007</v>
      </c>
      <c r="V23" s="40">
        <v>248.4</v>
      </c>
      <c r="W23" s="40">
        <v>1.8</v>
      </c>
      <c r="X23" s="40">
        <v>117.7</v>
      </c>
    </row>
    <row r="24" spans="1:24" x14ac:dyDescent="0.25">
      <c r="A24" s="9">
        <v>0</v>
      </c>
      <c r="B24" s="102" t="s">
        <v>243</v>
      </c>
      <c r="C24" s="61"/>
      <c r="D24" s="103"/>
      <c r="F24" s="84" cm="1">
        <f t="array" ref="F24">SUM(($A5:$A23=1)*F5:F23)</f>
        <v>4077.8999999999996</v>
      </c>
      <c r="G24" s="66" cm="1">
        <f t="array" ref="G24">SUMPRODUCT(($A5:$A23=1)*F5:F23, G5:G23)/F24</f>
        <v>274.13187179675811</v>
      </c>
      <c r="H24" s="66" cm="1">
        <f t="array" ref="H24">SUMPRODUCT(($A5:$A23=1)*F5:F23, H5:H23)/F24</f>
        <v>0.37324112901248196</v>
      </c>
      <c r="I24" s="85" cm="1">
        <f t="array" ref="I24">SUMPRODUCT(($A5:$A23=1)*F5:F23, I5:I23)/F24</f>
        <v>103.3844037372177</v>
      </c>
      <c r="K24" s="84" cm="1">
        <f t="array" ref="K24">SUM(($A5:$A23=1)*K5:K23)</f>
        <v>4077.8999999999996</v>
      </c>
      <c r="L24" s="66" cm="1">
        <f t="array" ref="L24">SUMPRODUCT(($A5:$A23=1)*K5:K23, L5:L23)/K24</f>
        <v>275.00325780426198</v>
      </c>
      <c r="M24" s="66" cm="1">
        <f t="array" ref="M24">SUMPRODUCT(($A5:$A23=1)*K5:K23, M5:M23)/K24</f>
        <v>0.37324112901248196</v>
      </c>
      <c r="N24" s="85" cm="1">
        <f t="array" ref="N24">SUMPRODUCT(($A5:$A23=1)*K5:K23, N5:N23)/K24</f>
        <v>103.3844037372177</v>
      </c>
      <c r="O24" s="37"/>
      <c r="P24" s="40">
        <v>3882</v>
      </c>
      <c r="Q24" s="40">
        <v>275.89999999999998</v>
      </c>
      <c r="R24" s="40">
        <v>0.4</v>
      </c>
      <c r="S24" s="40">
        <v>103.5</v>
      </c>
      <c r="T24" s="37"/>
      <c r="U24" s="40">
        <v>3882</v>
      </c>
      <c r="V24" s="40">
        <v>275.89999999999998</v>
      </c>
      <c r="W24" s="40">
        <v>0.4</v>
      </c>
      <c r="X24" s="40">
        <v>103.5</v>
      </c>
    </row>
    <row r="25" spans="1:24" x14ac:dyDescent="0.25">
      <c r="A25" s="9">
        <v>1</v>
      </c>
      <c r="B25" s="99" t="s">
        <v>244</v>
      </c>
      <c r="C25" s="60"/>
      <c r="D25" s="100"/>
      <c r="F25" s="74" cm="1">
        <f t="array" ref="F25">SUM(($A26:$A27=2)*F26)</f>
        <v>24.5</v>
      </c>
      <c r="G25" s="39">
        <f>SUMPRODUCT(($A26=2)*F26, G26)/F25</f>
        <v>386.5</v>
      </c>
      <c r="H25" s="39">
        <f>SUMPRODUCT(($A26=2)*F26, H26)/F25</f>
        <v>-2.8</v>
      </c>
      <c r="I25" s="75">
        <f>SUMPRODUCT(($A26=2)*F26, I26)/F25</f>
        <v>113</v>
      </c>
      <c r="J25" s="42"/>
      <c r="K25" s="74" cm="1">
        <f t="array" ref="K25">SUM(($A26:$A27=2)*K26)</f>
        <v>24.5</v>
      </c>
      <c r="L25" s="39">
        <f>SUMPRODUCT(($A26=2)*K26, L26)/K25</f>
        <v>386.5</v>
      </c>
      <c r="M25" s="39">
        <f>SUMPRODUCT(($A26=2)*K26, M26)/K25</f>
        <v>-2.8</v>
      </c>
      <c r="N25" s="75">
        <f>SUMPRODUCT(($A26=2)*K26, N26)/K25</f>
        <v>113</v>
      </c>
      <c r="O25" s="42"/>
      <c r="T25" s="37"/>
    </row>
    <row r="26" spans="1:24" x14ac:dyDescent="0.25">
      <c r="A26" s="9">
        <v>2</v>
      </c>
      <c r="B26" s="79"/>
      <c r="C26" s="11" t="s">
        <v>245</v>
      </c>
      <c r="D26" s="87"/>
      <c r="F26" s="79">
        <v>24.5</v>
      </c>
      <c r="G26" s="11">
        <v>386.5</v>
      </c>
      <c r="H26" s="11">
        <v>-2.8</v>
      </c>
      <c r="I26" s="77">
        <v>113</v>
      </c>
      <c r="K26" s="79">
        <v>24.5</v>
      </c>
      <c r="L26" s="11">
        <v>386.5</v>
      </c>
      <c r="M26" s="11">
        <v>-2.8</v>
      </c>
      <c r="N26" s="77">
        <v>113</v>
      </c>
      <c r="P26" s="5">
        <v>24.5</v>
      </c>
      <c r="Q26" s="5">
        <v>386.5</v>
      </c>
      <c r="R26" s="5">
        <v>-2.8</v>
      </c>
      <c r="S26" s="5">
        <v>113</v>
      </c>
      <c r="U26" s="5">
        <v>24.5</v>
      </c>
      <c r="V26" s="5">
        <v>386.5</v>
      </c>
      <c r="W26" s="5">
        <v>-2.8</v>
      </c>
      <c r="X26" s="5">
        <v>113</v>
      </c>
    </row>
    <row r="27" spans="1:24" x14ac:dyDescent="0.25">
      <c r="A27" s="9">
        <v>1</v>
      </c>
      <c r="B27" s="99" t="s">
        <v>246</v>
      </c>
      <c r="C27" s="60"/>
      <c r="D27" s="100"/>
      <c r="F27" s="79">
        <v>406.1</v>
      </c>
      <c r="G27" s="11">
        <v>164.9</v>
      </c>
      <c r="H27" s="11">
        <v>-4.2</v>
      </c>
      <c r="I27" s="77">
        <v>99</v>
      </c>
      <c r="K27" s="79">
        <v>406.1</v>
      </c>
      <c r="L27" s="11">
        <v>164.9</v>
      </c>
      <c r="M27" s="11">
        <v>-4.2</v>
      </c>
      <c r="N27" s="77">
        <v>99</v>
      </c>
      <c r="P27" s="5">
        <v>385.7</v>
      </c>
      <c r="Q27" s="5">
        <v>156.9</v>
      </c>
      <c r="R27" s="5">
        <v>-1.3</v>
      </c>
      <c r="S27" s="5">
        <v>99.1</v>
      </c>
      <c r="U27" s="5">
        <v>406.1</v>
      </c>
      <c r="V27" s="5">
        <v>164.9</v>
      </c>
      <c r="W27" s="5">
        <v>-4.2</v>
      </c>
      <c r="X27" s="5">
        <v>99</v>
      </c>
    </row>
    <row r="28" spans="1:24" x14ac:dyDescent="0.25">
      <c r="A28" s="9">
        <v>1</v>
      </c>
      <c r="B28" s="99" t="s">
        <v>269</v>
      </c>
      <c r="C28" s="60"/>
      <c r="D28" s="100"/>
      <c r="F28" s="86">
        <v>140</v>
      </c>
      <c r="G28" s="41">
        <v>116</v>
      </c>
      <c r="H28" s="41">
        <v>0</v>
      </c>
      <c r="I28" s="87">
        <v>106.8</v>
      </c>
      <c r="K28" s="98">
        <v>70</v>
      </c>
      <c r="L28" s="41">
        <v>116</v>
      </c>
      <c r="M28" s="41">
        <v>0</v>
      </c>
      <c r="N28" s="87">
        <v>106.8</v>
      </c>
      <c r="P28" s="5">
        <v>160</v>
      </c>
      <c r="Q28" s="5">
        <v>116</v>
      </c>
      <c r="R28" s="5">
        <v>0</v>
      </c>
      <c r="S28" s="5">
        <v>106.8</v>
      </c>
      <c r="U28" s="5">
        <v>170</v>
      </c>
      <c r="V28" s="5">
        <v>116</v>
      </c>
      <c r="W28" s="5">
        <v>0</v>
      </c>
      <c r="X28" s="5">
        <v>106.8</v>
      </c>
    </row>
    <row r="29" spans="1:24" x14ac:dyDescent="0.25">
      <c r="A29" s="9">
        <v>0</v>
      </c>
      <c r="B29" s="104" t="s">
        <v>247</v>
      </c>
      <c r="C29" s="68"/>
      <c r="D29" s="105"/>
      <c r="F29" s="84" cm="1">
        <f t="array" ref="F29">SUM(($A5:$A28=1)*F5:F28)</f>
        <v>4648.5</v>
      </c>
      <c r="G29" s="45" cm="1">
        <f t="array" ref="G29">SUMPRODUCT(($A5:$A28=1)*F5:F28, G5:G28)/F29</f>
        <v>260.41895235022048</v>
      </c>
      <c r="H29" s="45" cm="1">
        <f t="array" ref="H29">SUMPRODUCT(($A5:$A28=1)*F5:F28, H5:H28)/F29</f>
        <v>-5.4249757986447253E-2</v>
      </c>
      <c r="I29" s="88" cm="1">
        <f t="array" ref="I29">SUMPRODUCT(($A5:$A28=1)*F5:F28, I5:I28)/F29</f>
        <v>103.15492309347101</v>
      </c>
      <c r="J29" s="42"/>
      <c r="K29" s="84" cm="1">
        <f t="array" ref="K29">SUM(($A5:$A28=1)*K5:K28)</f>
        <v>4578.5</v>
      </c>
      <c r="L29" s="45" cm="1">
        <f t="array" ref="L29">SUMPRODUCT(($A5:$A28=1)*K5:K28, L5:L28)/K29</f>
        <v>263.40306323031558</v>
      </c>
      <c r="M29" s="45" cm="1">
        <f t="array" ref="M29">SUMPRODUCT(($A5:$A28=1)*K5:K28, M5:M28)/K29</f>
        <v>-5.5079174402096767E-2</v>
      </c>
      <c r="N29" s="88" cm="1">
        <f t="array" ref="N29">SUMPRODUCT(($A5:$A28=1)*K5:K28, N5:N28)/K29</f>
        <v>103.0991940591897</v>
      </c>
      <c r="O29" s="7"/>
    </row>
    <row r="30" spans="1:24" s="47" customFormat="1" x14ac:dyDescent="0.25">
      <c r="A30" s="46"/>
      <c r="B30" s="106"/>
      <c r="C30" s="69"/>
      <c r="D30" s="107"/>
      <c r="E30" s="48"/>
      <c r="F30" s="89"/>
      <c r="G30" s="70">
        <f>(G29-237)/60*100</f>
        <v>39.031587250367465</v>
      </c>
      <c r="H30" s="45"/>
      <c r="I30" s="90"/>
      <c r="J30" s="50"/>
      <c r="K30" s="89"/>
      <c r="L30" s="70">
        <f>(L29-(237+L2))/60*100</f>
        <v>40.255105383859302</v>
      </c>
      <c r="M30" s="45"/>
      <c r="N30" s="90"/>
      <c r="O30" s="49"/>
    </row>
    <row r="31" spans="1:24" x14ac:dyDescent="0.25">
      <c r="A31" s="9">
        <v>1</v>
      </c>
      <c r="B31" s="79" t="s">
        <v>248</v>
      </c>
      <c r="C31" s="11"/>
      <c r="D31" s="87"/>
      <c r="F31" s="76">
        <v>14</v>
      </c>
      <c r="G31" s="40">
        <v>369.5</v>
      </c>
      <c r="H31" s="40">
        <v>-0.1</v>
      </c>
      <c r="I31" s="91">
        <v>111.3</v>
      </c>
      <c r="J31" s="42"/>
      <c r="K31" s="76">
        <v>14</v>
      </c>
      <c r="L31" s="40">
        <v>369.5</v>
      </c>
      <c r="M31" s="40">
        <v>-0.1</v>
      </c>
      <c r="N31" s="91">
        <v>111.3</v>
      </c>
      <c r="O31" s="7"/>
    </row>
    <row r="32" spans="1:24" x14ac:dyDescent="0.25">
      <c r="A32" s="9">
        <v>0</v>
      </c>
      <c r="B32" s="104" t="s">
        <v>249</v>
      </c>
      <c r="C32" s="68"/>
      <c r="D32" s="105"/>
      <c r="F32" s="84" cm="1">
        <f t="array" ref="F32">SUM(($A5:$A31=1)*F5:F31)</f>
        <v>4662.5</v>
      </c>
      <c r="G32" s="45" cm="1">
        <f t="array" ref="G32">SUMPRODUCT(($A5:$A31=1)*F5:F31, G5:G31)/F32</f>
        <v>260.74648793565677</v>
      </c>
      <c r="H32" s="45" cm="1">
        <f t="array" ref="H32">SUMPRODUCT(($A5:$A31=1)*F5:F31, H5:H31)/F32</f>
        <v>-5.4387131367292244E-2</v>
      </c>
      <c r="I32" s="88" cm="1">
        <f t="array" ref="I32">SUMPRODUCT(($A5:$A31=1)*F5:F31, I5:I31)/F32</f>
        <v>103.17938016085792</v>
      </c>
      <c r="J32" s="42"/>
      <c r="K32" s="84" cm="1">
        <f t="array" ref="K32">SUM(($A5:$A31=1)*K5:K31)</f>
        <v>4592.5</v>
      </c>
      <c r="L32" s="45" cm="1">
        <f t="array" ref="L32">SUMPRODUCT(($A5:$A31=1)*K5:K31, L5:L31)/K32</f>
        <v>263.72649428415889</v>
      </c>
      <c r="M32" s="45" cm="1">
        <f t="array" ref="M32">SUMPRODUCT(($A5:$A31=1)*K5:K31, M5:M31)/K32</f>
        <v>-5.5216113228089288E-2</v>
      </c>
      <c r="N32" s="88" cm="1">
        <f t="array" ref="N32">SUMPRODUCT(($A5:$A31=1)*K5:K31, N5:N31)/K32</f>
        <v>103.12419379422973</v>
      </c>
      <c r="O32" s="7"/>
    </row>
    <row r="33" spans="1:15" s="47" customFormat="1" x14ac:dyDescent="0.25">
      <c r="A33" s="46"/>
      <c r="B33" s="106"/>
      <c r="C33" s="69"/>
      <c r="D33" s="107"/>
      <c r="E33" s="48"/>
      <c r="F33" s="89"/>
      <c r="G33" s="70">
        <f>(G32-237)/60*100</f>
        <v>39.577479892761289</v>
      </c>
      <c r="H33" s="45"/>
      <c r="I33" s="90"/>
      <c r="J33" s="50"/>
      <c r="K33" s="89"/>
      <c r="L33" s="70">
        <f>(L32-(237+L2))/60*100</f>
        <v>40.794157140264815</v>
      </c>
      <c r="M33" s="45"/>
      <c r="N33" s="90"/>
      <c r="O33" s="49"/>
    </row>
    <row r="34" spans="1:15" x14ac:dyDescent="0.25">
      <c r="A34" s="9">
        <v>1</v>
      </c>
      <c r="B34" s="79" t="s">
        <v>250</v>
      </c>
      <c r="C34" s="11"/>
      <c r="D34" s="87"/>
      <c r="F34" s="76">
        <v>50</v>
      </c>
      <c r="G34" s="40">
        <v>261.39999999999998</v>
      </c>
      <c r="H34" s="40">
        <v>0</v>
      </c>
      <c r="I34" s="91">
        <v>99</v>
      </c>
      <c r="J34" s="42"/>
      <c r="K34" s="76">
        <v>50</v>
      </c>
      <c r="L34" s="40">
        <v>261.39999999999998</v>
      </c>
      <c r="M34" s="40">
        <v>0</v>
      </c>
      <c r="N34" s="91">
        <v>99</v>
      </c>
      <c r="O34" s="7"/>
    </row>
    <row r="35" spans="1:15" x14ac:dyDescent="0.25">
      <c r="A35" s="9">
        <v>0</v>
      </c>
      <c r="B35" s="104" t="s">
        <v>251</v>
      </c>
      <c r="C35" s="68"/>
      <c r="D35" s="105"/>
      <c r="F35" s="84" cm="1">
        <f t="array" ref="F35">SUM(($A5:$A34=1)*F5:F34)</f>
        <v>4712.5</v>
      </c>
      <c r="G35" s="45" cm="1">
        <f t="array" ref="G35">SUMPRODUCT(($A5:$A34=1)*F5:F34, G5:G34)/F35</f>
        <v>260.75342175066311</v>
      </c>
      <c r="H35" s="45" cm="1">
        <f t="array" ref="H35">SUMPRODUCT(($A5:$A34=1)*F5:F34, H5:H34)/F35</f>
        <v>-5.3810079575596831E-2</v>
      </c>
      <c r="I35" s="88" cm="1">
        <f t="array" ref="I35">SUMPRODUCT(($A5:$A34=1)*F5:F34, I5:I34)/F35</f>
        <v>103.13503660477454</v>
      </c>
      <c r="J35" s="42"/>
      <c r="K35" s="84" cm="1">
        <f t="array" ref="K35">SUM(($A5:$A34=1)*K5:K34)</f>
        <v>4642.5</v>
      </c>
      <c r="L35" s="45" cm="1">
        <f t="array" ref="L35">SUMPRODUCT(($A5:$A34=1)*K5:K34, L5:L34)/K35</f>
        <v>263.70143780290789</v>
      </c>
      <c r="M35" s="45" cm="1">
        <f t="array" ref="M35">SUMPRODUCT(($A5:$A34=1)*K5:K34, M5:M34)/K35</f>
        <v>-5.4621432417878313E-2</v>
      </c>
      <c r="N35" s="88" cm="1">
        <f t="array" ref="N35">SUMPRODUCT(($A5:$A34=1)*K5:K34, N5:N34)/K35</f>
        <v>103.07977598276791</v>
      </c>
      <c r="O35" s="7"/>
    </row>
    <row r="36" spans="1:15" s="47" customFormat="1" x14ac:dyDescent="0.25">
      <c r="A36" s="46"/>
      <c r="B36" s="106"/>
      <c r="C36" s="69"/>
      <c r="D36" s="107"/>
      <c r="E36" s="48"/>
      <c r="F36" s="89"/>
      <c r="G36" s="70">
        <f>(G35-237)/60*100</f>
        <v>39.589036251105178</v>
      </c>
      <c r="H36" s="45"/>
      <c r="I36" s="90"/>
      <c r="J36" s="50"/>
      <c r="K36" s="89"/>
      <c r="L36" s="70">
        <f>(L35-(237+L2))/60*100</f>
        <v>40.752396338179814</v>
      </c>
      <c r="M36" s="45"/>
      <c r="N36" s="90"/>
      <c r="O36" s="49"/>
    </row>
    <row r="37" spans="1:15" x14ac:dyDescent="0.25">
      <c r="A37" s="9">
        <v>1</v>
      </c>
      <c r="B37" s="79" t="s">
        <v>252</v>
      </c>
      <c r="C37" s="11"/>
      <c r="D37" s="87"/>
      <c r="F37" s="122">
        <v>2287.4</v>
      </c>
      <c r="G37" s="40">
        <v>261.39999999999998</v>
      </c>
      <c r="H37" s="40">
        <v>0</v>
      </c>
      <c r="I37" s="91">
        <v>109.4</v>
      </c>
      <c r="J37" s="42"/>
      <c r="K37" s="122">
        <f>7000-K35</f>
        <v>2357.5</v>
      </c>
      <c r="L37" s="40">
        <v>262.3</v>
      </c>
      <c r="M37" s="40">
        <v>0</v>
      </c>
      <c r="N37" s="91">
        <v>109.4</v>
      </c>
      <c r="O37" s="7"/>
    </row>
    <row r="38" spans="1:15" x14ac:dyDescent="0.25">
      <c r="B38" s="79" t="s">
        <v>267</v>
      </c>
      <c r="C38" s="11"/>
      <c r="D38" s="87"/>
      <c r="F38" s="92" cm="1">
        <f t="array" ref="F38">SUM(($A39:$A42=2)*F39:F42)</f>
        <v>2287.4</v>
      </c>
      <c r="G38" s="57" cm="1">
        <f t="array" ref="G38">SUMPRODUCT(($A39:$A42=2)*F39:F42, G39:G42)/F38</f>
        <v>261.39536035255378</v>
      </c>
      <c r="H38" s="57" cm="1">
        <f t="array" ref="H38">SUMPRODUCT(($A39:$A42=2)*F39:F42, H39:H42)/F38</f>
        <v>0</v>
      </c>
      <c r="I38" s="93" cm="1">
        <f t="array" ref="I38">SUMPRODUCT(($A39:$A42=2)*F39:F42, I39:I42)/F38</f>
        <v>0</v>
      </c>
      <c r="J38" s="42"/>
      <c r="K38" s="92" cm="1">
        <f t="array" ref="K38">SUM(($A39:$A42=2)*K39:K42)</f>
        <v>2357.5</v>
      </c>
      <c r="L38" s="57" cm="1">
        <f t="array" ref="L38">SUMPRODUCT(($A39:$A42=2)*K39:K42, L39:L42)/K38</f>
        <v>262.28115342976946</v>
      </c>
      <c r="M38" s="57" cm="1">
        <f t="array" ref="M38">SUMPRODUCT(($A39:$A42=2)*K39:K42, M39:M42)/K38</f>
        <v>0</v>
      </c>
      <c r="N38" s="93" cm="1">
        <f t="array" ref="N38">SUMPRODUCT(($A39:$A42=2)*K39:K42, N39:N42)/K38</f>
        <v>0</v>
      </c>
      <c r="O38" s="7"/>
    </row>
    <row r="39" spans="1:15" x14ac:dyDescent="0.25">
      <c r="A39" s="9">
        <v>2</v>
      </c>
      <c r="B39" s="79"/>
      <c r="C39" s="11" t="s">
        <v>263</v>
      </c>
      <c r="D39" s="87"/>
      <c r="F39" s="76">
        <f>F37*1594/(1594+1035)*134.3/(134.3+34+68.3)</f>
        <v>787.22906491641606</v>
      </c>
      <c r="G39" s="40">
        <v>230</v>
      </c>
      <c r="H39" s="40"/>
      <c r="I39" s="91"/>
      <c r="J39" s="42"/>
      <c r="K39" s="76">
        <f>K37*1594/(1594+1035)*134.3/(134.3+34+68.3)</f>
        <v>811.3546037162065</v>
      </c>
      <c r="L39" s="40">
        <v>230</v>
      </c>
      <c r="M39" s="40"/>
      <c r="N39" s="91"/>
      <c r="O39" s="7"/>
    </row>
    <row r="40" spans="1:15" x14ac:dyDescent="0.25">
      <c r="A40" s="9">
        <v>2</v>
      </c>
      <c r="B40" s="79"/>
      <c r="C40" s="11" t="s">
        <v>266</v>
      </c>
      <c r="D40" s="87"/>
      <c r="F40" s="76">
        <f>F37*1594/(1594+1035)*34/(134.3+34+68.3)</f>
        <v>199.29849744719394</v>
      </c>
      <c r="G40" s="40">
        <v>276</v>
      </c>
      <c r="H40" s="40"/>
      <c r="I40" s="91"/>
      <c r="J40" s="42"/>
      <c r="K40" s="76">
        <f>K37*1594/(1594+1035)*34/(134.3+34+68.3)</f>
        <v>205.40622878891301</v>
      </c>
      <c r="L40" s="40">
        <v>276</v>
      </c>
      <c r="M40" s="40"/>
      <c r="N40" s="91"/>
      <c r="O40" s="7"/>
    </row>
    <row r="41" spans="1:15" x14ac:dyDescent="0.25">
      <c r="A41" s="9">
        <v>2</v>
      </c>
      <c r="B41" s="79"/>
      <c r="C41" s="11" t="s">
        <v>264</v>
      </c>
      <c r="D41" s="87"/>
      <c r="F41" s="76">
        <f>F37*1594/(1594+1035)*68.3/(134.3+34+68.3)</f>
        <v>400.35551104833365</v>
      </c>
      <c r="G41" s="40">
        <v>310</v>
      </c>
      <c r="H41" s="40"/>
      <c r="I41" s="91"/>
      <c r="J41" s="42"/>
      <c r="K41" s="76">
        <f>K37*1594/(1594+1035)*68.3/(134.3+34+68.3)</f>
        <v>412.62486547890467</v>
      </c>
      <c r="L41" s="40">
        <v>310</v>
      </c>
      <c r="M41" s="40"/>
      <c r="N41" s="91"/>
      <c r="O41" s="7"/>
    </row>
    <row r="42" spans="1:15" x14ac:dyDescent="0.25">
      <c r="A42" s="9">
        <v>2</v>
      </c>
      <c r="B42" s="79"/>
      <c r="C42" s="11" t="s">
        <v>265</v>
      </c>
      <c r="D42" s="87"/>
      <c r="F42" s="76">
        <f>F37*1035/(1594+1035)</f>
        <v>900.51692658805632</v>
      </c>
      <c r="G42" s="40">
        <f>237+60*0.45</f>
        <v>264</v>
      </c>
      <c r="H42" s="40"/>
      <c r="I42" s="91"/>
      <c r="J42" s="42"/>
      <c r="K42" s="76">
        <f>K37*1035/(1594+1035)</f>
        <v>928.11430201597568</v>
      </c>
      <c r="L42" s="40">
        <f>237+60*0.45+L2</f>
        <v>266.25</v>
      </c>
      <c r="M42" s="40"/>
      <c r="N42" s="91"/>
      <c r="O42" s="7"/>
    </row>
    <row r="43" spans="1:15" x14ac:dyDescent="0.25">
      <c r="A43" s="9">
        <v>0</v>
      </c>
      <c r="B43" s="104" t="s">
        <v>253</v>
      </c>
      <c r="C43" s="68"/>
      <c r="D43" s="105"/>
      <c r="F43" s="84" cm="1">
        <f t="array" ref="F43">SUM(($A5:$A37=1)*F5:F37)</f>
        <v>6999.9</v>
      </c>
      <c r="G43" s="45" cm="1">
        <f t="array" ref="G43">SUMPRODUCT(($A5:$A37=1)*F5:F37, G5:G37)/F43</f>
        <v>260.96470806725807</v>
      </c>
      <c r="H43" s="45" cm="1">
        <f t="array" ref="H43">SUMPRODUCT(($A5:$A37=1)*F5:F37, H5:H37)/F43</f>
        <v>-3.6226231803311484E-2</v>
      </c>
      <c r="I43" s="88" cm="1">
        <f t="array" ref="I43">SUMPRODUCT(($A5:$A37=1)*F5:F37, I5:I37)/F43</f>
        <v>105.18227688966986</v>
      </c>
      <c r="J43" s="42"/>
      <c r="K43" s="84" cm="1">
        <f t="array" ref="K43">SUM(($A5:$A37=1)*K5:K37)</f>
        <v>7000</v>
      </c>
      <c r="L43" s="45" cm="1">
        <f t="array" ref="L43">SUMPRODUCT(($A5:$A37=1)*K5:K37, L5:L37)/K43</f>
        <v>263.22945357142856</v>
      </c>
      <c r="M43" s="45" cm="1">
        <f t="array" ref="M43">SUMPRODUCT(($A5:$A37=1)*K5:K37, M5:M37)/K43</f>
        <v>-3.6225714285714299E-2</v>
      </c>
      <c r="N43" s="88" cm="1">
        <f t="array" ref="N43">SUMPRODUCT(($A5:$A37=1)*K5:K37, N5:N37)/K43</f>
        <v>105.20833714285716</v>
      </c>
      <c r="O43" s="7"/>
    </row>
    <row r="44" spans="1:15" s="47" customFormat="1" ht="15" thickBot="1" x14ac:dyDescent="0.3">
      <c r="A44" s="46"/>
      <c r="B44" s="108"/>
      <c r="C44" s="109"/>
      <c r="D44" s="110"/>
      <c r="E44" s="48"/>
      <c r="F44" s="94"/>
      <c r="G44" s="95">
        <f>(G43-237)/60*100</f>
        <v>39.941180112096788</v>
      </c>
      <c r="H44" s="96"/>
      <c r="I44" s="97"/>
      <c r="J44" s="48"/>
      <c r="K44" s="94"/>
      <c r="L44" s="95">
        <f>(L43-(237+L2))/60*100</f>
        <v>39.965755952380938</v>
      </c>
      <c r="M44" s="96"/>
      <c r="N44" s="97"/>
    </row>
    <row r="47" spans="1:15" x14ac:dyDescent="0.25">
      <c r="C47" s="5" t="s">
        <v>261</v>
      </c>
      <c r="F47" s="121" t="s">
        <v>270</v>
      </c>
      <c r="K47" s="44"/>
    </row>
    <row r="48" spans="1:15" x14ac:dyDescent="0.25">
      <c r="D48" s="5" t="s">
        <v>272</v>
      </c>
      <c r="F48" s="121"/>
      <c r="G48" s="121" t="s">
        <v>275</v>
      </c>
    </row>
    <row r="49" spans="3:7" x14ac:dyDescent="0.25">
      <c r="D49" s="5" t="s">
        <v>273</v>
      </c>
      <c r="F49" s="121"/>
      <c r="G49" s="121" t="s">
        <v>277</v>
      </c>
    </row>
    <row r="50" spans="3:7" x14ac:dyDescent="0.25">
      <c r="D50" s="5" t="s">
        <v>274</v>
      </c>
      <c r="F50" s="121"/>
      <c r="G50" s="121" t="s">
        <v>276</v>
      </c>
    </row>
    <row r="51" spans="3:7" x14ac:dyDescent="0.25">
      <c r="C51" s="5" t="s">
        <v>262</v>
      </c>
      <c r="F51" s="121" t="s">
        <v>271</v>
      </c>
    </row>
    <row r="68" spans="1:25" x14ac:dyDescent="0.25">
      <c r="B68" s="16"/>
      <c r="F68" s="5" t="s">
        <v>278</v>
      </c>
      <c r="K68" s="5" t="s">
        <v>279</v>
      </c>
    </row>
    <row r="69" spans="1:25" ht="15" thickBot="1" x14ac:dyDescent="0.3">
      <c r="K69" s="63" t="s">
        <v>268</v>
      </c>
      <c r="L69" s="62">
        <v>2.25</v>
      </c>
    </row>
    <row r="70" spans="1:25" ht="29" customHeight="1" thickBot="1" x14ac:dyDescent="0.3">
      <c r="B70" s="37"/>
      <c r="C70" s="37"/>
      <c r="D70" s="37"/>
      <c r="F70" s="71" t="s">
        <v>282</v>
      </c>
      <c r="G70" s="72"/>
      <c r="H70" s="72"/>
      <c r="I70" s="73"/>
      <c r="K70" s="71" t="s">
        <v>283</v>
      </c>
      <c r="L70" s="72"/>
      <c r="M70" s="72"/>
      <c r="N70" s="73"/>
      <c r="O70" s="37"/>
      <c r="P70" s="51" t="s">
        <v>259</v>
      </c>
      <c r="Q70" s="52"/>
      <c r="R70" s="52"/>
      <c r="S70" s="53"/>
      <c r="T70" s="37"/>
      <c r="U70" s="54" t="s">
        <v>258</v>
      </c>
      <c r="V70" s="55"/>
      <c r="W70" s="55"/>
      <c r="X70" s="56"/>
    </row>
    <row r="71" spans="1:25" s="9" customFormat="1" ht="29.5" thickBot="1" x14ac:dyDescent="0.3">
      <c r="A71" s="9" t="s">
        <v>260</v>
      </c>
      <c r="B71" s="114" t="s">
        <v>223</v>
      </c>
      <c r="C71" s="115"/>
      <c r="D71" s="116"/>
      <c r="E71" s="36"/>
      <c r="F71" s="117" t="s">
        <v>254</v>
      </c>
      <c r="G71" s="118" t="s">
        <v>256</v>
      </c>
      <c r="H71" s="118" t="s">
        <v>255</v>
      </c>
      <c r="I71" s="119" t="s">
        <v>257</v>
      </c>
      <c r="J71" s="35"/>
      <c r="K71" s="117" t="s">
        <v>254</v>
      </c>
      <c r="L71" s="118" t="s">
        <v>256</v>
      </c>
      <c r="M71" s="118" t="s">
        <v>255</v>
      </c>
      <c r="N71" s="119" t="s">
        <v>257</v>
      </c>
      <c r="O71" s="35"/>
      <c r="P71" s="120" t="s">
        <v>254</v>
      </c>
      <c r="Q71" s="118" t="s">
        <v>256</v>
      </c>
      <c r="R71" s="118" t="s">
        <v>255</v>
      </c>
      <c r="S71" s="118" t="s">
        <v>257</v>
      </c>
      <c r="T71" s="35"/>
      <c r="U71" s="120" t="s">
        <v>254</v>
      </c>
      <c r="V71" s="118" t="s">
        <v>256</v>
      </c>
      <c r="W71" s="118" t="s">
        <v>255</v>
      </c>
      <c r="X71" s="118" t="s">
        <v>257</v>
      </c>
      <c r="Y71" s="25"/>
    </row>
    <row r="72" spans="1:25" x14ac:dyDescent="0.25">
      <c r="A72" s="9">
        <v>1</v>
      </c>
      <c r="B72" s="111" t="s">
        <v>224</v>
      </c>
      <c r="C72" s="112"/>
      <c r="D72" s="113"/>
      <c r="F72" s="74" cm="1">
        <f t="array" ref="F72">SUM(($A73:$A79=2)*F73:F79)</f>
        <v>2548.1999999999998</v>
      </c>
      <c r="G72" s="39" cm="1">
        <f t="array" ref="G72">SUMPRODUCT(($A73:$A79=2)*F73:F79, G73:G79)/F72</f>
        <v>274.83573502864772</v>
      </c>
      <c r="H72" s="39" cm="1">
        <f t="array" ref="H72">SUMPRODUCT(($A73:$A79=2)*F73:F79, H73:H79)/F72</f>
        <v>0</v>
      </c>
      <c r="I72" s="75" cm="1">
        <f t="array" ref="I72">SUMPRODUCT(($A73:$A79=2)*F73:F79, I73:I79)/F72</f>
        <v>102.35525861392357</v>
      </c>
      <c r="K72" s="74" cm="1">
        <f t="array" ref="K72">SUM(($A73:$A79=2)*K73:K79)</f>
        <v>2548.1999999999998</v>
      </c>
      <c r="L72" s="39" cm="1">
        <f t="array" ref="L72">SUMPRODUCT(($A73:$A79=2)*K73:K79, L73:L79)/K72</f>
        <v>276.23021937053608</v>
      </c>
      <c r="M72" s="39" cm="1">
        <f t="array" ref="M72">SUMPRODUCT(($A73:$A79=2)*K73:K79, M73:M79)/K72</f>
        <v>0</v>
      </c>
      <c r="N72" s="75" cm="1">
        <f t="array" ref="N72">SUMPRODUCT(($A73:$A79=2)*K73:K79, N73:N79)/K72</f>
        <v>102.35525861392357</v>
      </c>
      <c r="O72" s="37"/>
      <c r="P72" s="38">
        <f>SUM(P73:P76)</f>
        <v>2409.3000000000002</v>
      </c>
      <c r="Q72" s="39">
        <f>SUMPRODUCT(P73:P76, Q73:Q76)/P72</f>
        <v>266.8229153696094</v>
      </c>
      <c r="R72" s="39">
        <f>SUMPRODUCT(P73:P76, R73:R76)/P72</f>
        <v>0</v>
      </c>
      <c r="S72" s="39">
        <f>SUMPRODUCT(P73:P76, S73:S76)/P72</f>
        <v>102.44038517411695</v>
      </c>
      <c r="T72" s="37"/>
      <c r="U72" s="38">
        <f>SUM(U73:U76)</f>
        <v>2409.3000000000002</v>
      </c>
      <c r="V72" s="39">
        <f>SUMPRODUCT(U73:U76, V73:V76)/U72</f>
        <v>266.8229153696094</v>
      </c>
      <c r="W72" s="39">
        <f>SUMPRODUCT(U73:U76, W73:W76)/U72</f>
        <v>0</v>
      </c>
      <c r="X72" s="39">
        <f>SUMPRODUCT(U73:U76, X73:X76)/U72</f>
        <v>102.44038517411695</v>
      </c>
    </row>
    <row r="73" spans="1:25" x14ac:dyDescent="0.25">
      <c r="A73" s="9">
        <v>2</v>
      </c>
      <c r="B73" s="79"/>
      <c r="C73" s="11" t="s">
        <v>225</v>
      </c>
      <c r="D73" s="87"/>
      <c r="F73" s="76">
        <v>1076.3</v>
      </c>
      <c r="G73" s="65">
        <v>258.5</v>
      </c>
      <c r="H73" s="41">
        <v>0</v>
      </c>
      <c r="I73" s="77">
        <v>117.4</v>
      </c>
      <c r="K73" s="76">
        <v>1076.3</v>
      </c>
      <c r="L73" s="64">
        <f>258.5+L69</f>
        <v>260.75</v>
      </c>
      <c r="M73" s="41">
        <v>0</v>
      </c>
      <c r="N73" s="77">
        <v>117.4</v>
      </c>
      <c r="O73" s="37"/>
      <c r="P73" s="40">
        <v>999.4</v>
      </c>
      <c r="Q73" s="40">
        <v>259</v>
      </c>
      <c r="R73" s="40">
        <v>0</v>
      </c>
      <c r="S73" s="40">
        <v>117.1</v>
      </c>
      <c r="T73" s="37"/>
      <c r="U73" s="40">
        <v>999.4</v>
      </c>
      <c r="V73" s="40">
        <v>259</v>
      </c>
      <c r="W73" s="40">
        <v>0</v>
      </c>
      <c r="X73" s="40">
        <v>117.1</v>
      </c>
    </row>
    <row r="74" spans="1:25" x14ac:dyDescent="0.25">
      <c r="A74" s="9">
        <v>2</v>
      </c>
      <c r="B74" s="79"/>
      <c r="C74" s="11" t="s">
        <v>226</v>
      </c>
      <c r="D74" s="87"/>
      <c r="F74" s="78">
        <v>183</v>
      </c>
      <c r="G74" s="41">
        <v>392</v>
      </c>
      <c r="H74" s="41">
        <v>0</v>
      </c>
      <c r="I74" s="77">
        <v>116.5</v>
      </c>
      <c r="K74" s="78">
        <v>183</v>
      </c>
      <c r="L74" s="41">
        <v>392</v>
      </c>
      <c r="M74" s="41">
        <v>0</v>
      </c>
      <c r="N74" s="77">
        <v>116.5</v>
      </c>
      <c r="O74" s="37"/>
      <c r="P74" s="40">
        <v>183</v>
      </c>
      <c r="Q74" s="40">
        <v>392</v>
      </c>
      <c r="R74" s="40">
        <v>0</v>
      </c>
      <c r="S74" s="40">
        <v>116.5</v>
      </c>
      <c r="T74" s="37"/>
      <c r="U74" s="40">
        <v>183</v>
      </c>
      <c r="V74" s="40">
        <v>392</v>
      </c>
      <c r="W74" s="40">
        <v>0</v>
      </c>
      <c r="X74" s="40">
        <v>116.5</v>
      </c>
    </row>
    <row r="75" spans="1:25" x14ac:dyDescent="0.25">
      <c r="A75" s="9">
        <v>2</v>
      </c>
      <c r="B75" s="79"/>
      <c r="C75" s="59" t="s">
        <v>227</v>
      </c>
      <c r="D75" s="101"/>
      <c r="F75" s="79">
        <v>649.6</v>
      </c>
      <c r="G75" s="41">
        <v>261.3</v>
      </c>
      <c r="H75" s="41">
        <v>0</v>
      </c>
      <c r="I75" s="77">
        <v>106</v>
      </c>
      <c r="K75" s="79">
        <v>649.6</v>
      </c>
      <c r="L75" s="41">
        <v>261.3</v>
      </c>
      <c r="M75" s="41">
        <v>0</v>
      </c>
      <c r="N75" s="77">
        <v>106</v>
      </c>
      <c r="O75" s="37"/>
      <c r="P75" s="40">
        <v>649.6</v>
      </c>
      <c r="Q75" s="40">
        <v>261.3</v>
      </c>
      <c r="R75" s="40">
        <v>0</v>
      </c>
      <c r="S75" s="40">
        <v>106</v>
      </c>
      <c r="T75" s="37"/>
      <c r="U75" s="40">
        <v>649.6</v>
      </c>
      <c r="V75" s="40">
        <v>261.3</v>
      </c>
      <c r="W75" s="40">
        <v>0</v>
      </c>
      <c r="X75" s="40">
        <v>106</v>
      </c>
    </row>
    <row r="76" spans="1:25" x14ac:dyDescent="0.25">
      <c r="A76" s="9">
        <v>2</v>
      </c>
      <c r="B76" s="79"/>
      <c r="C76" s="11" t="s">
        <v>228</v>
      </c>
      <c r="D76" s="87"/>
      <c r="F76" s="80" cm="1">
        <f t="array" ref="F76">SUM(($A77:$A79=3)*F77:F79)</f>
        <v>639.29999999999995</v>
      </c>
      <c r="G76" s="43" cm="1">
        <f t="array" ref="G76">SUMPRODUCT(($A77:$A79=3)*F77:F79, G77:G79)/F76</f>
        <v>282.55340215861105</v>
      </c>
      <c r="H76" s="43" cm="1">
        <f t="array" ref="H76">SUMPRODUCT(($A77:$A79=3)*F77:F79, H77:H79)/F76</f>
        <v>0</v>
      </c>
      <c r="I76" s="81" cm="1">
        <f t="array" ref="I76">SUMPRODUCT(($A77:$A79=3)*F77:F79, I77:I79)/F76</f>
        <v>69.274127952447998</v>
      </c>
      <c r="K76" s="80" cm="1">
        <f t="array" ref="K76">SUM(($A77:$A79=3)*K77:K79)</f>
        <v>639.29999999999995</v>
      </c>
      <c r="L76" s="43" cm="1">
        <f t="array" ref="L76">SUMPRODUCT(($A77:$A79=3)*K77:K79, L77:L79)/K76</f>
        <v>284.32369779446276</v>
      </c>
      <c r="M76" s="43" cm="1">
        <f t="array" ref="M76">SUMPRODUCT(($A77:$A79=3)*K77:K79, M77:M79)/K76</f>
        <v>0</v>
      </c>
      <c r="N76" s="81" cm="1">
        <f t="array" ref="N76">SUMPRODUCT(($A77:$A79=3)*K77:K79, N77:N79)/K76</f>
        <v>69.274127952447998</v>
      </c>
      <c r="O76" s="37"/>
      <c r="P76" s="40">
        <v>577.29999999999995</v>
      </c>
      <c r="Q76" s="40">
        <v>246.9</v>
      </c>
      <c r="R76" s="40">
        <v>0</v>
      </c>
      <c r="S76" s="40">
        <v>68.599999999999994</v>
      </c>
      <c r="T76" s="37"/>
      <c r="U76" s="40">
        <v>577.29999999999995</v>
      </c>
      <c r="V76" s="40">
        <v>246.9</v>
      </c>
      <c r="W76" s="40">
        <v>0</v>
      </c>
      <c r="X76" s="40">
        <v>68.599999999999994</v>
      </c>
    </row>
    <row r="77" spans="1:25" x14ac:dyDescent="0.25">
      <c r="A77" s="9">
        <v>3</v>
      </c>
      <c r="B77" s="79"/>
      <c r="C77" s="11"/>
      <c r="D77" s="87" t="s">
        <v>229</v>
      </c>
      <c r="F77" s="79">
        <v>136.30000000000001</v>
      </c>
      <c r="G77" s="41">
        <f>166.3+36</f>
        <v>202.3</v>
      </c>
      <c r="H77" s="41">
        <v>0</v>
      </c>
      <c r="I77" s="77">
        <v>72.5</v>
      </c>
      <c r="K77" s="79">
        <v>136.30000000000001</v>
      </c>
      <c r="L77" s="41">
        <f>166.3+36</f>
        <v>202.3</v>
      </c>
      <c r="M77" s="41">
        <v>0</v>
      </c>
      <c r="N77" s="77">
        <v>72.5</v>
      </c>
      <c r="O77" s="37"/>
      <c r="P77" s="40">
        <v>124.3</v>
      </c>
      <c r="Q77" s="40">
        <v>166.6</v>
      </c>
      <c r="R77" s="40">
        <v>0</v>
      </c>
      <c r="S77" s="40">
        <v>72</v>
      </c>
      <c r="T77" s="37"/>
      <c r="U77" s="40">
        <v>124.3</v>
      </c>
      <c r="V77" s="40">
        <v>166.6</v>
      </c>
      <c r="W77" s="40">
        <v>0</v>
      </c>
      <c r="X77" s="40">
        <v>72</v>
      </c>
    </row>
    <row r="78" spans="1:25" x14ac:dyDescent="0.25">
      <c r="A78" s="9">
        <v>3</v>
      </c>
      <c r="B78" s="79"/>
      <c r="C78" s="11"/>
      <c r="D78" s="87" t="s">
        <v>231</v>
      </c>
      <c r="F78" s="79">
        <v>251.5</v>
      </c>
      <c r="G78" s="65">
        <f>268.3+36</f>
        <v>304.3</v>
      </c>
      <c r="H78" s="41">
        <v>-39.200000000000003</v>
      </c>
      <c r="I78" s="77">
        <v>68.400000000000006</v>
      </c>
      <c r="K78" s="79">
        <v>251.5</v>
      </c>
      <c r="L78" s="64">
        <f>268.3+L69+36</f>
        <v>306.55</v>
      </c>
      <c r="M78" s="41">
        <v>-39.200000000000003</v>
      </c>
      <c r="N78" s="77">
        <v>68.400000000000006</v>
      </c>
      <c r="O78" s="37"/>
      <c r="P78" s="40">
        <v>226.5</v>
      </c>
      <c r="Q78" s="40">
        <v>268.89999999999998</v>
      </c>
      <c r="R78" s="40">
        <v>-39.700000000000003</v>
      </c>
      <c r="S78" s="40">
        <v>67.7</v>
      </c>
      <c r="T78" s="37"/>
      <c r="U78" s="40">
        <v>226.5</v>
      </c>
      <c r="V78" s="40">
        <v>268.89999999999998</v>
      </c>
      <c r="W78" s="40">
        <v>-39.700000000000003</v>
      </c>
      <c r="X78" s="40">
        <v>67.7</v>
      </c>
    </row>
    <row r="79" spans="1:25" x14ac:dyDescent="0.25">
      <c r="A79" s="9">
        <v>3</v>
      </c>
      <c r="B79" s="79"/>
      <c r="C79" s="11"/>
      <c r="D79" s="87" t="s">
        <v>230</v>
      </c>
      <c r="F79" s="79">
        <v>251.5</v>
      </c>
      <c r="G79" s="65">
        <f>268.3+36</f>
        <v>304.3</v>
      </c>
      <c r="H79" s="41">
        <v>39.200000000000003</v>
      </c>
      <c r="I79" s="77">
        <v>68.400000000000006</v>
      </c>
      <c r="K79" s="79">
        <v>251.5</v>
      </c>
      <c r="L79" s="64">
        <f>268.3+L69+36</f>
        <v>306.55</v>
      </c>
      <c r="M79" s="41">
        <v>39.200000000000003</v>
      </c>
      <c r="N79" s="77">
        <v>68.400000000000006</v>
      </c>
      <c r="O79" s="37"/>
      <c r="P79" s="40">
        <v>226.5</v>
      </c>
      <c r="Q79" s="40">
        <v>268.89999999999998</v>
      </c>
      <c r="R79" s="40">
        <v>39.700000000000003</v>
      </c>
      <c r="S79" s="40">
        <v>67.7</v>
      </c>
      <c r="T79" s="37"/>
      <c r="U79" s="40">
        <v>226.5</v>
      </c>
      <c r="V79" s="40">
        <v>268.89999999999998</v>
      </c>
      <c r="W79" s="40">
        <v>39.700000000000003</v>
      </c>
      <c r="X79" s="40">
        <v>67.7</v>
      </c>
    </row>
    <row r="80" spans="1:25" x14ac:dyDescent="0.25">
      <c r="A80" s="9">
        <v>1</v>
      </c>
      <c r="B80" s="99" t="s">
        <v>232</v>
      </c>
      <c r="C80" s="60"/>
      <c r="D80" s="100"/>
      <c r="F80" s="74" cm="1">
        <f t="array" ref="F80">SUM(($A81:$A82=2)*F81:F82)</f>
        <v>624.1</v>
      </c>
      <c r="G80" s="39" cm="1">
        <f t="array" ref="G80">SUMPRODUCT(($A81:$A82=2)*F81:F82, G81:G82)/F80</f>
        <v>377.68593174170803</v>
      </c>
      <c r="H80" s="39" cm="1">
        <f t="array" ref="H80">SUMPRODUCT(($A81:$A82=2)*F81:F82, H81:H82)/F80</f>
        <v>0.5</v>
      </c>
      <c r="I80" s="75" cm="1">
        <f t="array" ref="I80">SUMPRODUCT(($A81:$A82=2)*F81:F82, I81:I82)/F80</f>
        <v>107.41535010414999</v>
      </c>
      <c r="K80" s="74" cm="1">
        <f t="array" ref="K80">SUM(($A81:$A82=2)*K81:K82)</f>
        <v>624.1</v>
      </c>
      <c r="L80" s="39" cm="1">
        <f t="array" ref="L80">SUMPRODUCT(($A81:$A82=2)*K81:K82, L81:L82)/K80</f>
        <v>377.68593174170803</v>
      </c>
      <c r="M80" s="39" cm="1">
        <f t="array" ref="M80">SUMPRODUCT(($A81:$A82=2)*K81:K82, M81:M82)/K80</f>
        <v>0.5</v>
      </c>
      <c r="N80" s="75" cm="1">
        <f t="array" ref="N80">SUMPRODUCT(($A81:$A82=2)*K81:K82, N81:N82)/K80</f>
        <v>107.41535010414999</v>
      </c>
      <c r="O80" s="37"/>
      <c r="P80" s="38">
        <f>SUM(P81:P82)</f>
        <v>628.1</v>
      </c>
      <c r="Q80" s="39">
        <f>SUMPRODUCT(P81:P82, Q81:Q82)/P80</f>
        <v>377.78191370800829</v>
      </c>
      <c r="R80" s="39">
        <f>SUMPRODUCT(P81:P82, R81:R82)/P80</f>
        <v>0.5</v>
      </c>
      <c r="S80" s="39">
        <f>SUMPRODUCT(P81:P82, S81:S82)/P80</f>
        <v>107.41397866581754</v>
      </c>
      <c r="T80" s="37"/>
      <c r="U80" s="38">
        <f>SUM(U81:U82)</f>
        <v>628.1</v>
      </c>
      <c r="V80" s="39">
        <f>SUMPRODUCT(U81:U82, V81:V82)/U80</f>
        <v>377.78191370800829</v>
      </c>
      <c r="W80" s="39">
        <f>SUMPRODUCT(U81:U82, W81:W82)/U80</f>
        <v>0.5</v>
      </c>
      <c r="X80" s="39">
        <f>SUMPRODUCT(U81:U82, X81:X82)/U80</f>
        <v>107.41397866581754</v>
      </c>
    </row>
    <row r="81" spans="1:24" x14ac:dyDescent="0.25">
      <c r="A81" s="9">
        <v>2</v>
      </c>
      <c r="B81" s="79"/>
      <c r="C81" s="11" t="s">
        <v>233</v>
      </c>
      <c r="D81" s="87"/>
      <c r="F81" s="79">
        <v>489.7</v>
      </c>
      <c r="G81" s="41">
        <v>405.1</v>
      </c>
      <c r="H81" s="41">
        <v>0.5</v>
      </c>
      <c r="I81" s="77">
        <v>107.2</v>
      </c>
      <c r="K81" s="79">
        <v>489.7</v>
      </c>
      <c r="L81" s="41">
        <v>405.1</v>
      </c>
      <c r="M81" s="41">
        <v>0.5</v>
      </c>
      <c r="N81" s="77">
        <v>107.2</v>
      </c>
      <c r="O81" s="37"/>
      <c r="P81" s="40">
        <v>493.7</v>
      </c>
      <c r="Q81" s="40">
        <v>405</v>
      </c>
      <c r="R81" s="40">
        <v>0.5</v>
      </c>
      <c r="S81" s="40">
        <v>107.2</v>
      </c>
      <c r="T81" s="37"/>
      <c r="U81" s="40">
        <v>493.7</v>
      </c>
      <c r="V81" s="40">
        <v>405</v>
      </c>
      <c r="W81" s="40">
        <v>0.5</v>
      </c>
      <c r="X81" s="40">
        <v>107.2</v>
      </c>
    </row>
    <row r="82" spans="1:24" x14ac:dyDescent="0.25">
      <c r="A82" s="9">
        <v>2</v>
      </c>
      <c r="B82" s="79"/>
      <c r="C82" s="11" t="s">
        <v>234</v>
      </c>
      <c r="D82" s="87"/>
      <c r="F82" s="79">
        <v>134.4</v>
      </c>
      <c r="G82" s="41">
        <v>277.8</v>
      </c>
      <c r="H82" s="41">
        <v>0.5</v>
      </c>
      <c r="I82" s="77">
        <v>108.2</v>
      </c>
      <c r="K82" s="79">
        <v>134.4</v>
      </c>
      <c r="L82" s="41">
        <v>277.8</v>
      </c>
      <c r="M82" s="41">
        <v>0.5</v>
      </c>
      <c r="N82" s="77">
        <v>108.2</v>
      </c>
      <c r="O82" s="37"/>
      <c r="P82" s="40">
        <v>134.4</v>
      </c>
      <c r="Q82" s="40">
        <v>277.8</v>
      </c>
      <c r="R82" s="40">
        <v>0.5</v>
      </c>
      <c r="S82" s="40">
        <v>108.2</v>
      </c>
      <c r="T82" s="37"/>
      <c r="U82" s="40">
        <v>134.4</v>
      </c>
      <c r="V82" s="40">
        <v>277.8</v>
      </c>
      <c r="W82" s="40">
        <v>0.5</v>
      </c>
      <c r="X82" s="40">
        <v>108.2</v>
      </c>
    </row>
    <row r="83" spans="1:24" x14ac:dyDescent="0.25">
      <c r="A83" s="9">
        <v>1</v>
      </c>
      <c r="B83" s="99" t="s">
        <v>235</v>
      </c>
      <c r="C83" s="60"/>
      <c r="D83" s="100"/>
      <c r="F83" s="74" cm="1">
        <f t="array" ref="F83">SUM(($A84:$A90=2)*F84:F90)</f>
        <v>905.6</v>
      </c>
      <c r="G83" s="39" cm="1">
        <f t="array" ref="G83">SUMPRODUCT(($A84:$A90=2)*F84:F90, G84:G90)/F83</f>
        <v>226.20025397526501</v>
      </c>
      <c r="H83" s="39" cm="1">
        <f t="array" ref="H83">SUMPRODUCT(($A84:$A90=2)*F84:F90, H84:H90)/F83</f>
        <v>1.3361196996466431</v>
      </c>
      <c r="I83" s="75" cm="1">
        <f t="array" ref="I83">SUMPRODUCT(($A84:$A90=2)*F84:F90, I84:I90)/F83</f>
        <v>103.50228577738517</v>
      </c>
      <c r="K83" s="74" cm="1">
        <f t="array" ref="K83">SUM(($A84:$A90=2)*K84:K90)</f>
        <v>905.6</v>
      </c>
      <c r="L83" s="39" cm="1">
        <f t="array" ref="L83">SUMPRODUCT(($A84:$A90=2)*K84:K90, L84:L90)/K83</f>
        <v>226.20025397526501</v>
      </c>
      <c r="M83" s="39" cm="1">
        <f t="array" ref="M83">SUMPRODUCT(($A84:$A90=2)*K84:K90, M84:M90)/K83</f>
        <v>1.3361196996466431</v>
      </c>
      <c r="N83" s="75" cm="1">
        <f t="array" ref="N83">SUMPRODUCT(($A84:$A90=2)*K84:K90, N84:N90)/K83</f>
        <v>103.50228577738517</v>
      </c>
      <c r="O83" s="37"/>
      <c r="P83" s="38">
        <f>SUM(P84:P85)</f>
        <v>844.59999999999991</v>
      </c>
      <c r="Q83" s="39">
        <f>SUMPRODUCT(P84:P85, Q84:Q85)/P83</f>
        <v>226.20117215249826</v>
      </c>
      <c r="R83" s="39">
        <f>SUMPRODUCT(P84:P85, R84:R85)/P83</f>
        <v>1.2559554818849161</v>
      </c>
      <c r="S83" s="39">
        <f>SUMPRODUCT(P84:P85, S84:S85)/P83</f>
        <v>103.76623253611179</v>
      </c>
      <c r="T83" s="37"/>
      <c r="U83" s="38">
        <f>SUM(U84:U85)</f>
        <v>844.59999999999991</v>
      </c>
      <c r="V83" s="39">
        <f>SUMPRODUCT(U84:U85, V84:V85)/U83</f>
        <v>226.20117215249826</v>
      </c>
      <c r="W83" s="39">
        <f>SUMPRODUCT(U84:U85, W84:W85)/U83</f>
        <v>1.2559554818849161</v>
      </c>
      <c r="X83" s="39">
        <f>SUMPRODUCT(U84:U85, X84:X85)/U83</f>
        <v>103.76623253611179</v>
      </c>
    </row>
    <row r="84" spans="1:24" x14ac:dyDescent="0.25">
      <c r="A84" s="9">
        <v>2</v>
      </c>
      <c r="B84" s="79"/>
      <c r="C84" s="11" t="s">
        <v>236</v>
      </c>
      <c r="D84" s="87"/>
      <c r="F84" s="79">
        <v>388.5</v>
      </c>
      <c r="G84" s="41">
        <v>256</v>
      </c>
      <c r="H84" s="41">
        <v>1.3</v>
      </c>
      <c r="I84" s="77">
        <v>101.9</v>
      </c>
      <c r="K84" s="79">
        <v>388.5</v>
      </c>
      <c r="L84" s="41">
        <v>256</v>
      </c>
      <c r="M84" s="41">
        <v>1.3</v>
      </c>
      <c r="N84" s="77">
        <v>101.9</v>
      </c>
      <c r="O84" s="37"/>
      <c r="P84" s="40">
        <v>308.5</v>
      </c>
      <c r="Q84" s="40">
        <v>256</v>
      </c>
      <c r="R84" s="40">
        <v>1.3</v>
      </c>
      <c r="S84" s="40">
        <v>101.9</v>
      </c>
      <c r="T84" s="37"/>
      <c r="U84" s="40">
        <v>308.5</v>
      </c>
      <c r="V84" s="40">
        <v>256</v>
      </c>
      <c r="W84" s="40">
        <v>1.3</v>
      </c>
      <c r="X84" s="40">
        <v>101.9</v>
      </c>
    </row>
    <row r="85" spans="1:24" x14ac:dyDescent="0.25">
      <c r="A85" s="9">
        <v>2</v>
      </c>
      <c r="B85" s="79"/>
      <c r="C85" s="11" t="s">
        <v>237</v>
      </c>
      <c r="D85" s="87"/>
      <c r="F85" s="80" cm="1">
        <f t="array" ref="F85">SUM(($A86:$A90=3)*F86:F90)</f>
        <v>517.1</v>
      </c>
      <c r="G85" s="43" cm="1">
        <f t="array" ref="G85">SUMPRODUCT(($A86:$A90=3)*F86:F90, G86:G90)/F85</f>
        <v>203.81154515567587</v>
      </c>
      <c r="H85" s="43" cm="1">
        <f t="array" ref="H85">SUMPRODUCT(($A86:$A90=3)*F86:F90, H86:H90)/F85</f>
        <v>1.3632566234770835</v>
      </c>
      <c r="I85" s="81" cm="1">
        <f t="array" ref="I85">SUMPRODUCT(($A86:$A90=3)*F86:F90, I86:I90)/F85</f>
        <v>104.70609166505511</v>
      </c>
      <c r="K85" s="80" cm="1">
        <f t="array" ref="K85">SUM(($A86:$A90=3)*K86:K90)</f>
        <v>517.1</v>
      </c>
      <c r="L85" s="43" cm="1">
        <f t="array" ref="L85">SUMPRODUCT(($A86:$A90=3)*K86:K90, L86:L90)/K85</f>
        <v>203.81154515567587</v>
      </c>
      <c r="M85" s="43" cm="1">
        <f t="array" ref="M85">SUMPRODUCT(($A86:$A90=3)*K86:K90, M86:M90)/K85</f>
        <v>1.3632566234770835</v>
      </c>
      <c r="N85" s="81" cm="1">
        <f t="array" ref="N85">SUMPRODUCT(($A86:$A90=3)*K86:K90, N86:N90)/K85</f>
        <v>104.70609166505511</v>
      </c>
      <c r="O85" s="37"/>
      <c r="P85" s="38">
        <f>SUM(P86:P90)</f>
        <v>536.09999999999991</v>
      </c>
      <c r="Q85" s="39">
        <f>SUMPRODUCT(P86:P90, Q86:Q90)/P85</f>
        <v>209.05336690915877</v>
      </c>
      <c r="R85" s="39">
        <f>SUMPRODUCT(P86:P90, R86:R90)/P85</f>
        <v>1.230609960828204</v>
      </c>
      <c r="S85" s="39">
        <f>SUMPRODUCT(P86:P90, S86:S90)/P85</f>
        <v>104.84016041783252</v>
      </c>
      <c r="T85" s="37"/>
      <c r="U85" s="38">
        <f>SUM(U86:U90)</f>
        <v>536.09999999999991</v>
      </c>
      <c r="V85" s="39">
        <f>SUMPRODUCT(U86:U90, V86:V90)/U85</f>
        <v>209.05336690915877</v>
      </c>
      <c r="W85" s="39">
        <f>SUMPRODUCT(U86:U90, W86:W90)/U85</f>
        <v>1.230609960828204</v>
      </c>
      <c r="X85" s="39">
        <f>SUMPRODUCT(U86:U90, X86:X90)/U85</f>
        <v>104.84016041783252</v>
      </c>
    </row>
    <row r="86" spans="1:24" x14ac:dyDescent="0.25">
      <c r="A86" s="9">
        <v>3</v>
      </c>
      <c r="B86" s="79"/>
      <c r="C86" s="11"/>
      <c r="D86" s="87" t="s">
        <v>238</v>
      </c>
      <c r="F86" s="79">
        <v>10.5</v>
      </c>
      <c r="G86" s="41">
        <v>154.6</v>
      </c>
      <c r="H86" s="41">
        <v>-16.600000000000001</v>
      </c>
      <c r="I86" s="77">
        <v>101.4</v>
      </c>
      <c r="K86" s="79">
        <v>10.5</v>
      </c>
      <c r="L86" s="41">
        <v>154.6</v>
      </c>
      <c r="M86" s="41">
        <v>-16.600000000000001</v>
      </c>
      <c r="N86" s="77">
        <v>101.4</v>
      </c>
      <c r="O86" s="37"/>
      <c r="P86" s="40">
        <v>10.5</v>
      </c>
      <c r="Q86" s="40">
        <v>154.6</v>
      </c>
      <c r="R86" s="40">
        <v>-16.600000000000001</v>
      </c>
      <c r="S86" s="40">
        <v>101.4</v>
      </c>
      <c r="T86" s="37"/>
      <c r="U86" s="40">
        <v>10.5</v>
      </c>
      <c r="V86" s="40">
        <v>154.6</v>
      </c>
      <c r="W86" s="40">
        <v>-16.600000000000001</v>
      </c>
      <c r="X86" s="40">
        <v>101.4</v>
      </c>
    </row>
    <row r="87" spans="1:24" x14ac:dyDescent="0.25">
      <c r="A87" s="9">
        <v>3</v>
      </c>
      <c r="B87" s="79"/>
      <c r="C87" s="11"/>
      <c r="D87" s="87" t="s">
        <v>239</v>
      </c>
      <c r="F87" s="79">
        <v>25.2</v>
      </c>
      <c r="G87" s="41">
        <v>139</v>
      </c>
      <c r="H87" s="41">
        <v>1.3</v>
      </c>
      <c r="I87" s="77">
        <v>89.5</v>
      </c>
      <c r="K87" s="79">
        <v>25.2</v>
      </c>
      <c r="L87" s="41">
        <v>139</v>
      </c>
      <c r="M87" s="41">
        <v>1.3</v>
      </c>
      <c r="N87" s="77">
        <v>89.5</v>
      </c>
      <c r="O87" s="37"/>
      <c r="P87" s="40">
        <v>25.2</v>
      </c>
      <c r="Q87" s="40">
        <v>139</v>
      </c>
      <c r="R87" s="40">
        <v>1.3</v>
      </c>
      <c r="S87" s="40">
        <v>89.5</v>
      </c>
      <c r="T87" s="37"/>
      <c r="U87" s="40">
        <v>25.2</v>
      </c>
      <c r="V87" s="40">
        <v>139</v>
      </c>
      <c r="W87" s="40">
        <v>1.3</v>
      </c>
      <c r="X87" s="40">
        <v>89.5</v>
      </c>
    </row>
    <row r="88" spans="1:24" x14ac:dyDescent="0.25">
      <c r="A88" s="9">
        <v>3</v>
      </c>
      <c r="B88" s="79"/>
      <c r="C88" s="11"/>
      <c r="D88" s="87" t="s">
        <v>240</v>
      </c>
      <c r="F88" s="79">
        <v>346.1</v>
      </c>
      <c r="G88" s="41">
        <v>167.3</v>
      </c>
      <c r="H88" s="41">
        <v>2.4</v>
      </c>
      <c r="I88" s="77">
        <v>103.1</v>
      </c>
      <c r="K88" s="79">
        <v>346.1</v>
      </c>
      <c r="L88" s="41">
        <v>167.3</v>
      </c>
      <c r="M88" s="41">
        <v>2.4</v>
      </c>
      <c r="N88" s="77">
        <v>103.1</v>
      </c>
      <c r="O88" s="37"/>
      <c r="P88" s="40">
        <v>353.5</v>
      </c>
      <c r="Q88" s="40">
        <v>170.6</v>
      </c>
      <c r="R88" s="40">
        <v>2.2999999999999998</v>
      </c>
      <c r="S88" s="40">
        <v>103.7</v>
      </c>
      <c r="T88" s="37"/>
      <c r="U88" s="40">
        <v>353.5</v>
      </c>
      <c r="V88" s="40">
        <v>170.6</v>
      </c>
      <c r="W88" s="40">
        <v>2.2999999999999998</v>
      </c>
      <c r="X88" s="40">
        <v>103.7</v>
      </c>
    </row>
    <row r="89" spans="1:24" x14ac:dyDescent="0.25">
      <c r="A89" s="9">
        <v>3</v>
      </c>
      <c r="B89" s="79"/>
      <c r="C89" s="11"/>
      <c r="D89" s="87" t="s">
        <v>241</v>
      </c>
      <c r="F89" s="79">
        <v>126.5</v>
      </c>
      <c r="G89" s="41">
        <v>317.60000000000002</v>
      </c>
      <c r="H89" s="41">
        <v>0</v>
      </c>
      <c r="I89" s="77">
        <v>111.5</v>
      </c>
      <c r="K89" s="79">
        <v>126.5</v>
      </c>
      <c r="L89" s="41">
        <v>317.60000000000002</v>
      </c>
      <c r="M89" s="41">
        <v>0</v>
      </c>
      <c r="N89" s="77">
        <v>111.5</v>
      </c>
      <c r="O89" s="37"/>
      <c r="P89" s="40">
        <v>138.1</v>
      </c>
      <c r="Q89" s="40">
        <v>321.89999999999998</v>
      </c>
      <c r="R89" s="40">
        <v>-0.2</v>
      </c>
      <c r="S89" s="40">
        <v>110</v>
      </c>
      <c r="T89" s="37"/>
      <c r="U89" s="40">
        <v>138.1</v>
      </c>
      <c r="V89" s="40">
        <v>321.89999999999998</v>
      </c>
      <c r="W89" s="40">
        <v>-0.2</v>
      </c>
      <c r="X89" s="40">
        <v>110</v>
      </c>
    </row>
    <row r="90" spans="1:24" x14ac:dyDescent="0.25">
      <c r="A90" s="9">
        <v>3</v>
      </c>
      <c r="B90" s="79"/>
      <c r="C90" s="11"/>
      <c r="D90" s="87" t="s">
        <v>242</v>
      </c>
      <c r="F90" s="82">
        <v>8.8000000000000007</v>
      </c>
      <c r="G90" s="58">
        <v>248.4</v>
      </c>
      <c r="H90" s="58">
        <v>1.8</v>
      </c>
      <c r="I90" s="83">
        <v>117.7</v>
      </c>
      <c r="K90" s="82">
        <v>8.8000000000000007</v>
      </c>
      <c r="L90" s="58">
        <v>248.4</v>
      </c>
      <c r="M90" s="58">
        <v>1.8</v>
      </c>
      <c r="N90" s="83">
        <v>117.7</v>
      </c>
      <c r="O90" s="37"/>
      <c r="P90" s="40">
        <v>8.8000000000000007</v>
      </c>
      <c r="Q90" s="40">
        <v>248.4</v>
      </c>
      <c r="R90" s="40">
        <v>1.8</v>
      </c>
      <c r="S90" s="40">
        <v>117.7</v>
      </c>
      <c r="T90" s="37"/>
      <c r="U90" s="40">
        <v>8.8000000000000007</v>
      </c>
      <c r="V90" s="40">
        <v>248.4</v>
      </c>
      <c r="W90" s="40">
        <v>1.8</v>
      </c>
      <c r="X90" s="40">
        <v>117.7</v>
      </c>
    </row>
    <row r="91" spans="1:24" x14ac:dyDescent="0.25">
      <c r="A91" s="9">
        <v>0</v>
      </c>
      <c r="B91" s="102" t="s">
        <v>243</v>
      </c>
      <c r="C91" s="61"/>
      <c r="D91" s="103"/>
      <c r="F91" s="84" cm="1">
        <f t="array" ref="F91">SUM(($A72:$A90=1)*F72:F90)</f>
        <v>4077.8999999999996</v>
      </c>
      <c r="G91" s="66" cm="1">
        <f t="array" ref="G91">SUMPRODUCT(($A72:$A90=1)*F72:F90, G72:G90)/F91</f>
        <v>279.77565904019224</v>
      </c>
      <c r="H91" s="66" cm="1">
        <f t="array" ref="H91">SUMPRODUCT(($A72:$A90=1)*F72:F90, H72:H90)/F91</f>
        <v>0.37324112901248196</v>
      </c>
      <c r="I91" s="85" cm="1">
        <f t="array" ref="I91">SUMPRODUCT(($A72:$A90=1)*F72:F90, I72:I90)/F91</f>
        <v>103.3844037372177</v>
      </c>
      <c r="K91" s="84" cm="1">
        <f t="array" ref="K91">SUM(($A72:$A90=1)*K72:K90)</f>
        <v>4077.8999999999996</v>
      </c>
      <c r="L91" s="66" cm="1">
        <f t="array" ref="L91">SUMPRODUCT(($A72:$A90=1)*K72:K90, L72:L90)/K91</f>
        <v>280.64704504769611</v>
      </c>
      <c r="M91" s="66" cm="1">
        <f t="array" ref="M91">SUMPRODUCT(($A72:$A90=1)*K72:K90, M72:M90)/K91</f>
        <v>0.37324112901248196</v>
      </c>
      <c r="N91" s="85" cm="1">
        <f t="array" ref="N91">SUMPRODUCT(($A72:$A90=1)*K72:K90, N72:N90)/K91</f>
        <v>103.3844037372177</v>
      </c>
      <c r="O91" s="37"/>
      <c r="P91" s="40">
        <v>3882</v>
      </c>
      <c r="Q91" s="40">
        <v>275.89999999999998</v>
      </c>
      <c r="R91" s="40">
        <v>0.4</v>
      </c>
      <c r="S91" s="40">
        <v>103.5</v>
      </c>
      <c r="T91" s="37"/>
      <c r="U91" s="40">
        <v>3882</v>
      </c>
      <c r="V91" s="40">
        <v>275.89999999999998</v>
      </c>
      <c r="W91" s="40">
        <v>0.4</v>
      </c>
      <c r="X91" s="40">
        <v>103.5</v>
      </c>
    </row>
    <row r="92" spans="1:24" x14ac:dyDescent="0.25">
      <c r="A92" s="9">
        <v>1</v>
      </c>
      <c r="B92" s="99" t="s">
        <v>244</v>
      </c>
      <c r="C92" s="60"/>
      <c r="D92" s="100"/>
      <c r="F92" s="74" cm="1">
        <f t="array" ref="F92">SUM(($A93:$A94=2)*F93)</f>
        <v>24.5</v>
      </c>
      <c r="G92" s="39">
        <f>SUMPRODUCT(($A93=2)*F93, G93)/F92</f>
        <v>386.5</v>
      </c>
      <c r="H92" s="39">
        <f>SUMPRODUCT(($A93=2)*F93, H93)/F92</f>
        <v>-2.8</v>
      </c>
      <c r="I92" s="75">
        <f>SUMPRODUCT(($A93=2)*F93, I93)/F92</f>
        <v>113</v>
      </c>
      <c r="J92" s="42"/>
      <c r="K92" s="74" cm="1">
        <f t="array" ref="K92">SUM(($A93:$A94=2)*K93)</f>
        <v>24.5</v>
      </c>
      <c r="L92" s="39">
        <f>SUMPRODUCT(($A93=2)*K93, L93)/K92</f>
        <v>386.5</v>
      </c>
      <c r="M92" s="39">
        <f>SUMPRODUCT(($A93=2)*K93, M93)/K92</f>
        <v>-2.8</v>
      </c>
      <c r="N92" s="75">
        <f>SUMPRODUCT(($A93=2)*K93, N93)/K92</f>
        <v>113</v>
      </c>
      <c r="O92" s="42"/>
      <c r="T92" s="37"/>
    </row>
    <row r="93" spans="1:24" x14ac:dyDescent="0.25">
      <c r="A93" s="9">
        <v>2</v>
      </c>
      <c r="B93" s="79"/>
      <c r="C93" s="11" t="s">
        <v>245</v>
      </c>
      <c r="D93" s="87"/>
      <c r="F93" s="79">
        <v>24.5</v>
      </c>
      <c r="G93" s="11">
        <v>386.5</v>
      </c>
      <c r="H93" s="11">
        <v>-2.8</v>
      </c>
      <c r="I93" s="77">
        <v>113</v>
      </c>
      <c r="K93" s="79">
        <v>24.5</v>
      </c>
      <c r="L93" s="11">
        <v>386.5</v>
      </c>
      <c r="M93" s="11">
        <v>-2.8</v>
      </c>
      <c r="N93" s="77">
        <v>113</v>
      </c>
      <c r="P93" s="5">
        <v>24.5</v>
      </c>
      <c r="Q93" s="5">
        <v>386.5</v>
      </c>
      <c r="R93" s="5">
        <v>-2.8</v>
      </c>
      <c r="S93" s="5">
        <v>113</v>
      </c>
      <c r="U93" s="5">
        <v>24.5</v>
      </c>
      <c r="V93" s="5">
        <v>386.5</v>
      </c>
      <c r="W93" s="5">
        <v>-2.8</v>
      </c>
      <c r="X93" s="5">
        <v>113</v>
      </c>
    </row>
    <row r="94" spans="1:24" x14ac:dyDescent="0.25">
      <c r="A94" s="9">
        <v>1</v>
      </c>
      <c r="B94" s="99" t="s">
        <v>246</v>
      </c>
      <c r="C94" s="60"/>
      <c r="D94" s="100"/>
      <c r="F94" s="79">
        <v>406.1</v>
      </c>
      <c r="G94" s="11">
        <v>164.9</v>
      </c>
      <c r="H94" s="11">
        <v>-4.2</v>
      </c>
      <c r="I94" s="77">
        <v>99</v>
      </c>
      <c r="K94" s="79">
        <v>406.1</v>
      </c>
      <c r="L94" s="11">
        <v>164.9</v>
      </c>
      <c r="M94" s="11">
        <v>-4.2</v>
      </c>
      <c r="N94" s="77">
        <v>99</v>
      </c>
      <c r="P94" s="5">
        <v>385.7</v>
      </c>
      <c r="Q94" s="5">
        <v>156.9</v>
      </c>
      <c r="R94" s="5">
        <v>-1.3</v>
      </c>
      <c r="S94" s="5">
        <v>99.1</v>
      </c>
      <c r="U94" s="5">
        <v>406.1</v>
      </c>
      <c r="V94" s="5">
        <v>164.9</v>
      </c>
      <c r="W94" s="5">
        <v>-4.2</v>
      </c>
      <c r="X94" s="5">
        <v>99</v>
      </c>
    </row>
    <row r="95" spans="1:24" x14ac:dyDescent="0.25">
      <c r="A95" s="9">
        <v>1</v>
      </c>
      <c r="B95" s="99" t="s">
        <v>269</v>
      </c>
      <c r="C95" s="60"/>
      <c r="D95" s="100"/>
      <c r="F95" s="86">
        <v>140</v>
      </c>
      <c r="G95" s="41">
        <v>116</v>
      </c>
      <c r="H95" s="41">
        <v>0</v>
      </c>
      <c r="I95" s="87">
        <v>106.8</v>
      </c>
      <c r="K95" s="98">
        <v>70</v>
      </c>
      <c r="L95" s="41">
        <v>116</v>
      </c>
      <c r="M95" s="41">
        <v>0</v>
      </c>
      <c r="N95" s="87">
        <v>106.8</v>
      </c>
      <c r="P95" s="5">
        <v>160</v>
      </c>
      <c r="Q95" s="5">
        <v>116</v>
      </c>
      <c r="R95" s="5">
        <v>0</v>
      </c>
      <c r="S95" s="5">
        <v>106.8</v>
      </c>
      <c r="U95" s="5">
        <v>170</v>
      </c>
      <c r="V95" s="5">
        <v>116</v>
      </c>
      <c r="W95" s="5">
        <v>0</v>
      </c>
      <c r="X95" s="5">
        <v>106.8</v>
      </c>
    </row>
    <row r="96" spans="1:24" x14ac:dyDescent="0.25">
      <c r="A96" s="9">
        <v>0</v>
      </c>
      <c r="B96" s="104" t="s">
        <v>247</v>
      </c>
      <c r="C96" s="68"/>
      <c r="D96" s="105"/>
      <c r="F96" s="84" cm="1">
        <f t="array" ref="F96">SUM(($A72:$A95=1)*F72:F95)</f>
        <v>4648.5</v>
      </c>
      <c r="G96" s="45" cm="1">
        <f t="array" ref="G96">SUMPRODUCT(($A72:$A95=1)*F72:F95, G72:G95)/F96</f>
        <v>265.36996880714207</v>
      </c>
      <c r="H96" s="45" cm="1">
        <f t="array" ref="H96">SUMPRODUCT(($A72:$A95=1)*F72:F95, H72:H95)/F96</f>
        <v>-5.4249757986447253E-2</v>
      </c>
      <c r="I96" s="88" cm="1">
        <f t="array" ref="I96">SUMPRODUCT(($A72:$A95=1)*F72:F95, I72:I95)/F96</f>
        <v>103.15492309347101</v>
      </c>
      <c r="J96" s="42"/>
      <c r="K96" s="84" cm="1">
        <f t="array" ref="K96">SUM(($A72:$A95=1)*K72:K95)</f>
        <v>4578.5</v>
      </c>
      <c r="L96" s="45" cm="1">
        <f t="array" ref="L96">SUMPRODUCT(($A72:$A95=1)*K72:K95, L72:L95)/K96</f>
        <v>268.42977503549196</v>
      </c>
      <c r="M96" s="45" cm="1">
        <f t="array" ref="M96">SUMPRODUCT(($A72:$A95=1)*K72:K95, M72:M95)/K96</f>
        <v>-5.5079174402096767E-2</v>
      </c>
      <c r="N96" s="88" cm="1">
        <f t="array" ref="N96">SUMPRODUCT(($A72:$A95=1)*K72:K95, N72:N95)/K96</f>
        <v>103.0991940591897</v>
      </c>
      <c r="O96" s="7"/>
    </row>
    <row r="97" spans="1:15" s="47" customFormat="1" x14ac:dyDescent="0.25">
      <c r="A97" s="46"/>
      <c r="B97" s="106"/>
      <c r="C97" s="69"/>
      <c r="D97" s="107"/>
      <c r="E97" s="48"/>
      <c r="F97" s="89"/>
      <c r="G97" s="70">
        <f>(G96-237)/60*100</f>
        <v>47.283281345236787</v>
      </c>
      <c r="H97" s="45"/>
      <c r="I97" s="90"/>
      <c r="J97" s="50"/>
      <c r="K97" s="89"/>
      <c r="L97" s="70">
        <f>(L96-(237+L69))/60*100</f>
        <v>48.6329583924866</v>
      </c>
      <c r="M97" s="45"/>
      <c r="N97" s="90"/>
      <c r="O97" s="49"/>
    </row>
    <row r="98" spans="1:15" x14ac:dyDescent="0.25">
      <c r="A98" s="9">
        <v>1</v>
      </c>
      <c r="B98" s="79" t="s">
        <v>248</v>
      </c>
      <c r="C98" s="11"/>
      <c r="D98" s="87"/>
      <c r="F98" s="76">
        <v>14</v>
      </c>
      <c r="G98" s="40">
        <v>369.5</v>
      </c>
      <c r="H98" s="40">
        <v>-0.1</v>
      </c>
      <c r="I98" s="91">
        <v>111.3</v>
      </c>
      <c r="J98" s="42"/>
      <c r="K98" s="76">
        <v>14</v>
      </c>
      <c r="L98" s="40">
        <v>369.5</v>
      </c>
      <c r="M98" s="40">
        <v>-0.1</v>
      </c>
      <c r="N98" s="91">
        <v>111.3</v>
      </c>
      <c r="O98" s="7"/>
    </row>
    <row r="99" spans="1:15" x14ac:dyDescent="0.25">
      <c r="A99" s="9">
        <v>0</v>
      </c>
      <c r="B99" s="104" t="s">
        <v>249</v>
      </c>
      <c r="C99" s="68"/>
      <c r="D99" s="105"/>
      <c r="F99" s="84" cm="1">
        <f t="array" ref="F99">SUM(($A72:$A98=1)*F72:F98)</f>
        <v>4662.5</v>
      </c>
      <c r="G99" s="45" cm="1">
        <f t="array" ref="G99">SUMPRODUCT(($A72:$A98=1)*F72:F98, G72:G98)/F99</f>
        <v>265.68263806970504</v>
      </c>
      <c r="H99" s="45" cm="1">
        <f t="array" ref="H99">SUMPRODUCT(($A72:$A98=1)*F72:F98, H72:H98)/F99</f>
        <v>-5.4387131367292244E-2</v>
      </c>
      <c r="I99" s="88" cm="1">
        <f t="array" ref="I99">SUMPRODUCT(($A72:$A98=1)*F72:F98, I72:I98)/F99</f>
        <v>103.17938016085792</v>
      </c>
      <c r="J99" s="42"/>
      <c r="K99" s="84" cm="1">
        <f t="array" ref="K99">SUM(($A72:$A98=1)*K72:K98)</f>
        <v>4592.5</v>
      </c>
      <c r="L99" s="45" cm="1">
        <f t="array" ref="L99">SUMPRODUCT(($A72:$A98=1)*K72:K98, L72:L98)/K99</f>
        <v>268.73788241698418</v>
      </c>
      <c r="M99" s="45" cm="1">
        <f t="array" ref="M99">SUMPRODUCT(($A72:$A98=1)*K72:K98, M72:M98)/K99</f>
        <v>-5.5216113228089288E-2</v>
      </c>
      <c r="N99" s="88" cm="1">
        <f t="array" ref="N99">SUMPRODUCT(($A72:$A98=1)*K72:K98, N72:N98)/K99</f>
        <v>103.12419379422973</v>
      </c>
      <c r="O99" s="7"/>
    </row>
    <row r="100" spans="1:15" s="47" customFormat="1" x14ac:dyDescent="0.25">
      <c r="A100" s="46"/>
      <c r="B100" s="106"/>
      <c r="C100" s="69"/>
      <c r="D100" s="107"/>
      <c r="E100" s="48"/>
      <c r="F100" s="89"/>
      <c r="G100" s="70">
        <f>(G99-237)/60*100</f>
        <v>47.804396782841721</v>
      </c>
      <c r="H100" s="45"/>
      <c r="I100" s="90"/>
      <c r="J100" s="50"/>
      <c r="K100" s="89"/>
      <c r="L100" s="70">
        <f>(L99-(237+L69))/60*100</f>
        <v>49.14647069497363</v>
      </c>
      <c r="M100" s="45"/>
      <c r="N100" s="90"/>
      <c r="O100" s="49"/>
    </row>
    <row r="101" spans="1:15" x14ac:dyDescent="0.25">
      <c r="A101" s="9">
        <v>1</v>
      </c>
      <c r="B101" s="79" t="s">
        <v>250</v>
      </c>
      <c r="C101" s="11"/>
      <c r="D101" s="87"/>
      <c r="F101" s="76">
        <v>50</v>
      </c>
      <c r="G101" s="40">
        <v>261.39999999999998</v>
      </c>
      <c r="H101" s="40">
        <v>0</v>
      </c>
      <c r="I101" s="91">
        <v>99</v>
      </c>
      <c r="J101" s="42"/>
      <c r="K101" s="76">
        <v>50</v>
      </c>
      <c r="L101" s="40">
        <v>261.39999999999998</v>
      </c>
      <c r="M101" s="40">
        <v>0</v>
      </c>
      <c r="N101" s="91">
        <v>99</v>
      </c>
      <c r="O101" s="7"/>
    </row>
    <row r="102" spans="1:15" x14ac:dyDescent="0.25">
      <c r="A102" s="9">
        <v>0</v>
      </c>
      <c r="B102" s="104" t="s">
        <v>251</v>
      </c>
      <c r="C102" s="68"/>
      <c r="D102" s="105"/>
      <c r="F102" s="84" cm="1">
        <f t="array" ref="F102">SUM(($A72:$A101=1)*F72:F101)</f>
        <v>4712.5</v>
      </c>
      <c r="G102" s="45" cm="1">
        <f t="array" ref="G102">SUMPRODUCT(($A72:$A101=1)*F72:F101, G72:G101)/F102</f>
        <v>265.63719893899201</v>
      </c>
      <c r="H102" s="45" cm="1">
        <f t="array" ref="H102">SUMPRODUCT(($A72:$A101=1)*F72:F101, H72:H101)/F102</f>
        <v>-5.3810079575596831E-2</v>
      </c>
      <c r="I102" s="88" cm="1">
        <f t="array" ref="I102">SUMPRODUCT(($A72:$A101=1)*F72:F101, I72:I101)/F102</f>
        <v>103.13503660477454</v>
      </c>
      <c r="J102" s="42"/>
      <c r="K102" s="84" cm="1">
        <f t="array" ref="K102">SUM(($A72:$A101=1)*K72:K101)</f>
        <v>4642.5</v>
      </c>
      <c r="L102" s="45" cm="1">
        <f t="array" ref="L102">SUMPRODUCT(($A72:$A101=1)*K72:K101, L72:L101)/K102</f>
        <v>268.65885298869142</v>
      </c>
      <c r="M102" s="45" cm="1">
        <f t="array" ref="M102">SUMPRODUCT(($A72:$A101=1)*K72:K101, M72:M101)/K102</f>
        <v>-5.4621432417878313E-2</v>
      </c>
      <c r="N102" s="88" cm="1">
        <f t="array" ref="N102">SUMPRODUCT(($A72:$A101=1)*K72:K101, N72:N101)/K102</f>
        <v>103.07977598276791</v>
      </c>
      <c r="O102" s="7"/>
    </row>
    <row r="103" spans="1:15" s="47" customFormat="1" x14ac:dyDescent="0.25">
      <c r="A103" s="46"/>
      <c r="B103" s="106"/>
      <c r="C103" s="69"/>
      <c r="D103" s="107"/>
      <c r="E103" s="48"/>
      <c r="F103" s="89"/>
      <c r="G103" s="70">
        <f>(G102-237)/60*100</f>
        <v>47.728664898320019</v>
      </c>
      <c r="H103" s="45"/>
      <c r="I103" s="90"/>
      <c r="J103" s="50"/>
      <c r="K103" s="89"/>
      <c r="L103" s="70">
        <f>(L102-(237+L69))/60*100</f>
        <v>49.014754981152372</v>
      </c>
      <c r="M103" s="45"/>
      <c r="N103" s="90"/>
      <c r="O103" s="49"/>
    </row>
    <row r="104" spans="1:15" x14ac:dyDescent="0.25">
      <c r="A104" s="9">
        <v>1</v>
      </c>
      <c r="B104" s="79" t="s">
        <v>252</v>
      </c>
      <c r="C104" s="11"/>
      <c r="D104" s="87"/>
      <c r="F104" s="76">
        <v>2287.4</v>
      </c>
      <c r="G104" s="40">
        <v>261.39999999999998</v>
      </c>
      <c r="H104" s="40">
        <v>0</v>
      </c>
      <c r="I104" s="91">
        <v>109.4</v>
      </c>
      <c r="J104" s="42"/>
      <c r="K104" s="76">
        <f>7000-K102</f>
        <v>2357.5</v>
      </c>
      <c r="L104" s="40">
        <v>262.3</v>
      </c>
      <c r="M104" s="40">
        <v>0</v>
      </c>
      <c r="N104" s="91">
        <v>109.4</v>
      </c>
      <c r="O104" s="7"/>
    </row>
    <row r="105" spans="1:15" x14ac:dyDescent="0.25">
      <c r="B105" s="79" t="s">
        <v>267</v>
      </c>
      <c r="C105" s="11"/>
      <c r="D105" s="87"/>
      <c r="F105" s="92" cm="1">
        <f t="array" ref="F105">SUM(($A106:$A109=2)*F106:F109)</f>
        <v>2287.4</v>
      </c>
      <c r="G105" s="57" cm="1">
        <f t="array" ref="G105">SUMPRODUCT(($A106:$A109=2)*F106:F109, G106:G109)/F105</f>
        <v>261.39536035255378</v>
      </c>
      <c r="H105" s="57" cm="1">
        <f t="array" ref="H105">SUMPRODUCT(($A106:$A109=2)*F106:F109, H106:H109)/F105</f>
        <v>0</v>
      </c>
      <c r="I105" s="93" cm="1">
        <f t="array" ref="I105">SUMPRODUCT(($A106:$A109=2)*F106:F109, I106:I109)/F105</f>
        <v>0</v>
      </c>
      <c r="J105" s="42"/>
      <c r="K105" s="92" cm="1">
        <f t="array" ref="K105">SUM(($A106:$A109=2)*K106:K109)</f>
        <v>2357.5</v>
      </c>
      <c r="L105" s="57" cm="1">
        <f t="array" ref="L105">SUMPRODUCT(($A106:$A109=2)*K106:K109, L106:L109)/K105</f>
        <v>262.28115342976946</v>
      </c>
      <c r="M105" s="57" cm="1">
        <f t="array" ref="M105">SUMPRODUCT(($A106:$A109=2)*K106:K109, M106:M109)/K105</f>
        <v>0</v>
      </c>
      <c r="N105" s="93" cm="1">
        <f t="array" ref="N105">SUMPRODUCT(($A106:$A109=2)*K106:K109, N106:N109)/K105</f>
        <v>0</v>
      </c>
      <c r="O105" s="7"/>
    </row>
    <row r="106" spans="1:15" x14ac:dyDescent="0.25">
      <c r="A106" s="9">
        <v>2</v>
      </c>
      <c r="B106" s="79"/>
      <c r="C106" s="11" t="s">
        <v>263</v>
      </c>
      <c r="D106" s="87"/>
      <c r="F106" s="76">
        <f>F104*1594/(1594+1035)*134.3/(134.3+34+68.3)</f>
        <v>787.22906491641606</v>
      </c>
      <c r="G106" s="40">
        <v>230</v>
      </c>
      <c r="H106" s="40"/>
      <c r="I106" s="91"/>
      <c r="J106" s="42"/>
      <c r="K106" s="76">
        <f>K104*1594/(1594+1035)*134.3/(134.3+34+68.3)</f>
        <v>811.3546037162065</v>
      </c>
      <c r="L106" s="40">
        <v>230</v>
      </c>
      <c r="M106" s="40"/>
      <c r="N106" s="91"/>
      <c r="O106" s="7"/>
    </row>
    <row r="107" spans="1:15" x14ac:dyDescent="0.25">
      <c r="A107" s="9">
        <v>2</v>
      </c>
      <c r="B107" s="79"/>
      <c r="C107" s="11" t="s">
        <v>266</v>
      </c>
      <c r="D107" s="87"/>
      <c r="F107" s="76">
        <f>F104*1594/(1594+1035)*34/(134.3+34+68.3)</f>
        <v>199.29849744719394</v>
      </c>
      <c r="G107" s="40">
        <v>276</v>
      </c>
      <c r="H107" s="40"/>
      <c r="I107" s="91"/>
      <c r="J107" s="42"/>
      <c r="K107" s="76">
        <f>K104*1594/(1594+1035)*34/(134.3+34+68.3)</f>
        <v>205.40622878891301</v>
      </c>
      <c r="L107" s="40">
        <v>276</v>
      </c>
      <c r="M107" s="40"/>
      <c r="N107" s="91"/>
      <c r="O107" s="7"/>
    </row>
    <row r="108" spans="1:15" x14ac:dyDescent="0.25">
      <c r="A108" s="9">
        <v>2</v>
      </c>
      <c r="B108" s="79"/>
      <c r="C108" s="11" t="s">
        <v>264</v>
      </c>
      <c r="D108" s="87"/>
      <c r="F108" s="76">
        <f>F104*1594/(1594+1035)*68.3/(134.3+34+68.3)</f>
        <v>400.35551104833365</v>
      </c>
      <c r="G108" s="40">
        <v>310</v>
      </c>
      <c r="H108" s="40"/>
      <c r="I108" s="91"/>
      <c r="J108" s="42"/>
      <c r="K108" s="76">
        <f>K104*1594/(1594+1035)*68.3/(134.3+34+68.3)</f>
        <v>412.62486547890467</v>
      </c>
      <c r="L108" s="40">
        <v>310</v>
      </c>
      <c r="M108" s="40"/>
      <c r="N108" s="91"/>
      <c r="O108" s="7"/>
    </row>
    <row r="109" spans="1:15" x14ac:dyDescent="0.25">
      <c r="A109" s="9">
        <v>2</v>
      </c>
      <c r="B109" s="79"/>
      <c r="C109" s="11" t="s">
        <v>265</v>
      </c>
      <c r="D109" s="87"/>
      <c r="F109" s="76">
        <f>F104*1035/(1594+1035)</f>
        <v>900.51692658805632</v>
      </c>
      <c r="G109" s="40">
        <f>237+60*0.45</f>
        <v>264</v>
      </c>
      <c r="H109" s="40"/>
      <c r="I109" s="91"/>
      <c r="J109" s="42"/>
      <c r="K109" s="76">
        <f>K104*1035/(1594+1035)</f>
        <v>928.11430201597568</v>
      </c>
      <c r="L109" s="40">
        <f>237+60*0.45+L69</f>
        <v>266.25</v>
      </c>
      <c r="M109" s="40"/>
      <c r="N109" s="91"/>
      <c r="O109" s="7"/>
    </row>
    <row r="110" spans="1:15" x14ac:dyDescent="0.25">
      <c r="A110" s="9">
        <v>0</v>
      </c>
      <c r="B110" s="104" t="s">
        <v>253</v>
      </c>
      <c r="C110" s="68"/>
      <c r="D110" s="105"/>
      <c r="F110" s="84" cm="1">
        <f t="array" ref="F110">SUM(($A72:$A104=1)*F72:F104)</f>
        <v>6999.9</v>
      </c>
      <c r="G110" s="45" cm="1">
        <f t="array" ref="G110">SUMPRODUCT(($A72:$A104=1)*F72:F104, G72:G104)/F110</f>
        <v>264.2525836083372</v>
      </c>
      <c r="H110" s="45" cm="1">
        <f t="array" ref="H110">SUMPRODUCT(($A72:$A104=1)*F72:F104, H72:H104)/F110</f>
        <v>-3.6226231803311484E-2</v>
      </c>
      <c r="I110" s="88" cm="1">
        <f t="array" ref="I110">SUMPRODUCT(($A72:$A104=1)*F72:F104, I72:I104)/F110</f>
        <v>105.18227688966986</v>
      </c>
      <c r="J110" s="42"/>
      <c r="K110" s="84" cm="1">
        <f t="array" ref="K110">SUM(($A72:$A104=1)*K72:K104)</f>
        <v>7000</v>
      </c>
      <c r="L110" s="45" cm="1">
        <f t="array" ref="L110">SUMPRODUCT(($A72:$A104=1)*K72:K104, L72:L104)/K110</f>
        <v>266.51728214285714</v>
      </c>
      <c r="M110" s="45" cm="1">
        <f t="array" ref="M110">SUMPRODUCT(($A72:$A104=1)*K72:K104, M72:M104)/K110</f>
        <v>-3.6225714285714299E-2</v>
      </c>
      <c r="N110" s="88" cm="1">
        <f t="array" ref="N110">SUMPRODUCT(($A72:$A104=1)*K72:K104, N72:N104)/K110</f>
        <v>105.20833714285716</v>
      </c>
      <c r="O110" s="7"/>
    </row>
    <row r="111" spans="1:15" s="47" customFormat="1" ht="15" thickBot="1" x14ac:dyDescent="0.3">
      <c r="A111" s="46"/>
      <c r="B111" s="108"/>
      <c r="C111" s="109"/>
      <c r="D111" s="110"/>
      <c r="E111" s="48"/>
      <c r="F111" s="94"/>
      <c r="G111" s="95">
        <f>(G110-237)/60*100</f>
        <v>45.420972680562002</v>
      </c>
      <c r="H111" s="96"/>
      <c r="I111" s="97"/>
      <c r="J111" s="48"/>
      <c r="K111" s="94"/>
      <c r="L111" s="95">
        <f>(L110-(237+L69))/60*100</f>
        <v>45.44547023809524</v>
      </c>
      <c r="M111" s="96"/>
      <c r="N111" s="97"/>
    </row>
  </sheetData>
  <mergeCells count="18">
    <mergeCell ref="B110:D111"/>
    <mergeCell ref="P70:S70"/>
    <mergeCell ref="U70:X70"/>
    <mergeCell ref="B71:D71"/>
    <mergeCell ref="B96:D97"/>
    <mergeCell ref="B99:D100"/>
    <mergeCell ref="B102:D103"/>
    <mergeCell ref="B32:D33"/>
    <mergeCell ref="B35:D36"/>
    <mergeCell ref="B43:D44"/>
    <mergeCell ref="B4:D4"/>
    <mergeCell ref="F70:I70"/>
    <mergeCell ref="K70:N70"/>
    <mergeCell ref="F3:I3"/>
    <mergeCell ref="P3:S3"/>
    <mergeCell ref="U3:X3"/>
    <mergeCell ref="K3:N3"/>
    <mergeCell ref="B29:D30"/>
  </mergeCells>
  <phoneticPr fontId="2" type="noConversion"/>
  <pageMargins left="0.7" right="0.7" top="0.75" bottom="0.75" header="0.3" footer="0.3"/>
  <ignoredErrors>
    <ignoredError sqref="F5:I5 F18 F9:I9 K9:N9 K5:N5 F13:I13 K13:N13 F16:I16 K16:N16 K18:N18 G18:I18 F24:I24 K24:N24 K25 F25 F29:I29 K29:N29 K32:N32 F32:I32 F35:I35 K35:N35 K38:N38 F38:I3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Performance</vt:lpstr>
      <vt:lpstr>Performance (2)</vt:lpstr>
      <vt:lpstr>RSTA</vt:lpstr>
      <vt:lpstr>WL</vt:lpstr>
      <vt:lpstr>Weight</vt:lpstr>
      <vt:lpstr>alt_ft</vt:lpstr>
      <vt:lpstr>CLmax</vt:lpstr>
      <vt:lpstr>CLmax_to</vt:lpstr>
      <vt:lpstr>rho_kgm3</vt:lpstr>
      <vt:lpstr>S_TO_ft</vt:lpstr>
      <vt:lpstr>S_TO_m</vt:lpstr>
      <vt:lpstr>S_TOG_ft</vt:lpstr>
      <vt:lpstr>S_TOG_m</vt:lpstr>
      <vt:lpstr>Vs_0_ms</vt:lpstr>
      <vt:lpstr>Vs_1_ms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Sehwan Park</dc:creator>
  <cp:lastModifiedBy>Sehwan Park</cp:lastModifiedBy>
  <dcterms:created xsi:type="dcterms:W3CDTF">2026-04-12T08:37:45Z</dcterms:created>
  <dcterms:modified xsi:type="dcterms:W3CDTF">2026-06-09T16:14:54Z</dcterms:modified>
</cp:coreProperties>
</file>