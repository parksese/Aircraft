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works\3_codes\Performance\"/>
    </mc:Choice>
  </mc:AlternateContent>
  <xr:revisionPtr revIDLastSave="0" documentId="13_ncr:1_{C61A3649-5A8C-40CA-83C1-9E75962EE0CA}" xr6:coauthVersionLast="47" xr6:coauthVersionMax="47" xr10:uidLastSave="{00000000-0000-0000-0000-000000000000}"/>
  <bookViews>
    <workbookView xWindow="-110" yWindow="-110" windowWidth="25820" windowHeight="15500" firstSheet="1" activeTab="2" xr2:uid="{92019FB0-FC2D-44ED-AF39-9D3A35716D50}"/>
  </bookViews>
  <sheets>
    <sheet name="Reqs" sheetId="1" r:id="rId1"/>
    <sheet name="Perf-TO&amp;L" sheetId="5" r:id="rId2"/>
    <sheet name="Blown effect (mu variation)" sheetId="9" r:id="rId3"/>
    <sheet name="Blown effect (alt variation)" sheetId="10" r:id="rId4"/>
    <sheet name="Landing" sheetId="11" r:id="rId5"/>
    <sheet name="Sheet2" sheetId="12" r:id="rId6"/>
    <sheet name="LG" sheetId="7" r:id="rId7"/>
    <sheet name="RSTA" sheetId="4" r:id="rId8"/>
    <sheet name="WL" sheetId="3" r:id="rId9"/>
    <sheet name="Weight" sheetId="2" r:id="rId10"/>
    <sheet name="Sheet1" sheetId="8" r:id="rId11"/>
  </sheets>
  <definedNames>
    <definedName name="alt_ft">Reqs!$H$11</definedName>
    <definedName name="CD">Landing!$E$43</definedName>
    <definedName name="CL">Landing!$E$39</definedName>
    <definedName name="CLmax">WL!$E$3</definedName>
    <definedName name="CLmax_to">WL!$E$5</definedName>
    <definedName name="g_mps2">Landing!$E$3</definedName>
    <definedName name="mu_b">Landing!$E$13</definedName>
    <definedName name="mu_u">Landing!$E$12</definedName>
    <definedName name="rho_kgm3">WL!$E$1</definedName>
    <definedName name="rho_kgpm3">Landing!$E$11</definedName>
    <definedName name="S_TO_ft">Reqs!$H$13</definedName>
    <definedName name="S_TO_m">Reqs!$H$12</definedName>
    <definedName name="S_TOG_ft">Reqs!$H$15</definedName>
    <definedName name="S_TOG_m">Reqs!$H$14</definedName>
    <definedName name="T_rev_N">Landing!$E$49</definedName>
    <definedName name="Vs_0_ms">Reqs!$H$7</definedName>
    <definedName name="Vs_1_ms">Reqs!$H$9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" i="9" l="1"/>
  <c r="Z7" i="9" s="1"/>
  <c r="Z8" i="9" s="1"/>
  <c r="Z9" i="9" s="1"/>
  <c r="AA6" i="9"/>
  <c r="AA7" i="9" s="1"/>
  <c r="AA8" i="9" s="1"/>
  <c r="AA9" i="9" s="1"/>
  <c r="AB6" i="9"/>
  <c r="AB7" i="9" s="1"/>
  <c r="AB10" i="9" s="1"/>
  <c r="AC6" i="9"/>
  <c r="AC7" i="9" s="1"/>
  <c r="AC10" i="9" s="1"/>
  <c r="AD6" i="9"/>
  <c r="AD7" i="9" s="1"/>
  <c r="AE6" i="9"/>
  <c r="AE7" i="9" s="1"/>
  <c r="AF6" i="9"/>
  <c r="AF7" i="9" s="1"/>
  <c r="AG6" i="9"/>
  <c r="AG7" i="9" s="1"/>
  <c r="AH6" i="9"/>
  <c r="AH7" i="9" s="1"/>
  <c r="AI6" i="9"/>
  <c r="AI7" i="9" s="1"/>
  <c r="Z10" i="9"/>
  <c r="Z11" i="9" s="1"/>
  <c r="H59" i="11"/>
  <c r="I59" i="11" s="1"/>
  <c r="M59" i="11"/>
  <c r="N59" i="11"/>
  <c r="H60" i="11"/>
  <c r="I60" i="11" s="1"/>
  <c r="M60" i="11"/>
  <c r="N60" i="11"/>
  <c r="H61" i="11"/>
  <c r="I61" i="11"/>
  <c r="L61" i="11" s="1"/>
  <c r="K61" i="11"/>
  <c r="M61" i="11"/>
  <c r="N61" i="11"/>
  <c r="H62" i="11"/>
  <c r="I62" i="11" s="1"/>
  <c r="M62" i="11"/>
  <c r="N62" i="11"/>
  <c r="H63" i="11"/>
  <c r="M63" i="11"/>
  <c r="N63" i="11"/>
  <c r="H64" i="11"/>
  <c r="I64" i="11"/>
  <c r="K64" i="11" s="1"/>
  <c r="L64" i="11"/>
  <c r="M64" i="11"/>
  <c r="N64" i="11"/>
  <c r="H20" i="11"/>
  <c r="I20" i="11" s="1"/>
  <c r="K20" i="11" s="1"/>
  <c r="M20" i="11"/>
  <c r="N20" i="11"/>
  <c r="H21" i="11"/>
  <c r="I21" i="11"/>
  <c r="L21" i="11" s="1"/>
  <c r="M21" i="11"/>
  <c r="N21" i="11"/>
  <c r="H22" i="11"/>
  <c r="I22" i="11"/>
  <c r="L22" i="11" s="1"/>
  <c r="K22" i="11"/>
  <c r="M22" i="11"/>
  <c r="N22" i="11"/>
  <c r="H23" i="11"/>
  <c r="I23" i="11"/>
  <c r="K23" i="11" s="1"/>
  <c r="M23" i="11"/>
  <c r="N23" i="11"/>
  <c r="H24" i="11"/>
  <c r="I24" i="11" s="1"/>
  <c r="M24" i="11"/>
  <c r="N24" i="11"/>
  <c r="H25" i="11"/>
  <c r="I25" i="11" s="1"/>
  <c r="M25" i="11"/>
  <c r="N25" i="11"/>
  <c r="H26" i="11"/>
  <c r="I26" i="11" s="1"/>
  <c r="M26" i="11"/>
  <c r="N26" i="11"/>
  <c r="H27" i="11"/>
  <c r="I27" i="11" s="1"/>
  <c r="K27" i="11" s="1"/>
  <c r="M27" i="11"/>
  <c r="N27" i="11"/>
  <c r="H28" i="11"/>
  <c r="I28" i="11" s="1"/>
  <c r="L28" i="11" s="1"/>
  <c r="M28" i="11"/>
  <c r="N28" i="11"/>
  <c r="H29" i="11"/>
  <c r="I29" i="11"/>
  <c r="M29" i="11"/>
  <c r="N29" i="11"/>
  <c r="H30" i="11"/>
  <c r="I30" i="11"/>
  <c r="L30" i="11" s="1"/>
  <c r="K30" i="11"/>
  <c r="M30" i="11"/>
  <c r="N30" i="11"/>
  <c r="H31" i="11"/>
  <c r="I31" i="11" s="1"/>
  <c r="M31" i="11"/>
  <c r="N31" i="11"/>
  <c r="H32" i="11"/>
  <c r="I32" i="11" s="1"/>
  <c r="M32" i="11"/>
  <c r="N32" i="11"/>
  <c r="H33" i="11"/>
  <c r="I33" i="11"/>
  <c r="L33" i="11" s="1"/>
  <c r="K33" i="11"/>
  <c r="M33" i="11"/>
  <c r="N33" i="11"/>
  <c r="H34" i="11"/>
  <c r="I34" i="11" s="1"/>
  <c r="K34" i="11" s="1"/>
  <c r="M34" i="11"/>
  <c r="N34" i="11"/>
  <c r="H35" i="11"/>
  <c r="I35" i="11" s="1"/>
  <c r="M35" i="11"/>
  <c r="N35" i="11"/>
  <c r="H36" i="11"/>
  <c r="I36" i="11" s="1"/>
  <c r="M36" i="11"/>
  <c r="N36" i="11"/>
  <c r="H37" i="11"/>
  <c r="I37" i="11"/>
  <c r="K37" i="11"/>
  <c r="L37" i="11"/>
  <c r="M37" i="11"/>
  <c r="N37" i="11"/>
  <c r="H38" i="11"/>
  <c r="I38" i="11" s="1"/>
  <c r="M38" i="11"/>
  <c r="N38" i="11"/>
  <c r="H39" i="11"/>
  <c r="I39" i="11" s="1"/>
  <c r="M39" i="11"/>
  <c r="N39" i="11"/>
  <c r="H40" i="11"/>
  <c r="I40" i="11" s="1"/>
  <c r="L40" i="11" s="1"/>
  <c r="K40" i="11"/>
  <c r="M40" i="11"/>
  <c r="N40" i="11"/>
  <c r="H41" i="11"/>
  <c r="I41" i="11" s="1"/>
  <c r="K41" i="11" s="1"/>
  <c r="M41" i="11"/>
  <c r="N41" i="11"/>
  <c r="H42" i="11"/>
  <c r="I42" i="11"/>
  <c r="M42" i="11"/>
  <c r="N42" i="11"/>
  <c r="H43" i="11"/>
  <c r="I43" i="11" s="1"/>
  <c r="M43" i="11"/>
  <c r="N43" i="11"/>
  <c r="H44" i="11"/>
  <c r="I44" i="11" s="1"/>
  <c r="M44" i="11"/>
  <c r="N44" i="11"/>
  <c r="H45" i="11"/>
  <c r="I45" i="11" s="1"/>
  <c r="M45" i="11"/>
  <c r="N45" i="11"/>
  <c r="H46" i="11"/>
  <c r="I46" i="11" s="1"/>
  <c r="K46" i="11" s="1"/>
  <c r="M46" i="11"/>
  <c r="N46" i="11"/>
  <c r="H47" i="11"/>
  <c r="I47" i="11" s="1"/>
  <c r="M47" i="11"/>
  <c r="N47" i="11"/>
  <c r="H48" i="11"/>
  <c r="I48" i="11" s="1"/>
  <c r="K48" i="11" s="1"/>
  <c r="M48" i="11"/>
  <c r="N48" i="11"/>
  <c r="H49" i="11"/>
  <c r="I49" i="11"/>
  <c r="L49" i="11" s="1"/>
  <c r="K49" i="11"/>
  <c r="M49" i="11"/>
  <c r="N49" i="11"/>
  <c r="H50" i="11"/>
  <c r="I50" i="11"/>
  <c r="L50" i="11" s="1"/>
  <c r="M50" i="11"/>
  <c r="N50" i="11"/>
  <c r="H51" i="11"/>
  <c r="I51" i="11" s="1"/>
  <c r="M51" i="11"/>
  <c r="N51" i="11"/>
  <c r="H52" i="11"/>
  <c r="I52" i="11" s="1"/>
  <c r="M52" i="11"/>
  <c r="N52" i="11"/>
  <c r="H53" i="11"/>
  <c r="M53" i="11"/>
  <c r="N53" i="11"/>
  <c r="H54" i="11"/>
  <c r="I54" i="11" s="1"/>
  <c r="K54" i="11" s="1"/>
  <c r="M54" i="11"/>
  <c r="N54" i="11"/>
  <c r="H55" i="11"/>
  <c r="I55" i="11" s="1"/>
  <c r="K55" i="11" s="1"/>
  <c r="M55" i="11"/>
  <c r="N55" i="11"/>
  <c r="H56" i="11"/>
  <c r="I56" i="11"/>
  <c r="L56" i="11" s="1"/>
  <c r="K56" i="11"/>
  <c r="M56" i="11"/>
  <c r="N56" i="11"/>
  <c r="H57" i="11"/>
  <c r="I57" i="11"/>
  <c r="L57" i="11" s="1"/>
  <c r="M57" i="11"/>
  <c r="N57" i="11"/>
  <c r="H58" i="11"/>
  <c r="I58" i="11" s="1"/>
  <c r="M58" i="11"/>
  <c r="N58" i="11"/>
  <c r="H5" i="11"/>
  <c r="I5" i="11" s="1"/>
  <c r="M5" i="11"/>
  <c r="N5" i="11"/>
  <c r="H6" i="11"/>
  <c r="I6" i="11" s="1"/>
  <c r="K6" i="11" s="1"/>
  <c r="M6" i="11"/>
  <c r="N6" i="11"/>
  <c r="H7" i="11"/>
  <c r="I7" i="11" s="1"/>
  <c r="M7" i="11"/>
  <c r="N7" i="11"/>
  <c r="H8" i="11"/>
  <c r="I8" i="11" s="1"/>
  <c r="M8" i="11"/>
  <c r="N8" i="11"/>
  <c r="H9" i="11"/>
  <c r="I9" i="11" s="1"/>
  <c r="K9" i="11" s="1"/>
  <c r="M9" i="11"/>
  <c r="N9" i="11"/>
  <c r="H10" i="11"/>
  <c r="I10" i="11" s="1"/>
  <c r="M10" i="11"/>
  <c r="N10" i="11"/>
  <c r="H11" i="11"/>
  <c r="I11" i="11"/>
  <c r="K11" i="11" s="1"/>
  <c r="M11" i="11"/>
  <c r="N11" i="11"/>
  <c r="H12" i="11"/>
  <c r="I12" i="11" s="1"/>
  <c r="M12" i="11"/>
  <c r="N12" i="11"/>
  <c r="H13" i="11"/>
  <c r="M13" i="11"/>
  <c r="N13" i="11"/>
  <c r="H14" i="11"/>
  <c r="I14" i="11" s="1"/>
  <c r="L14" i="11" s="1"/>
  <c r="M14" i="11"/>
  <c r="N14" i="11"/>
  <c r="H15" i="11"/>
  <c r="I15" i="11" s="1"/>
  <c r="M15" i="11"/>
  <c r="N15" i="11"/>
  <c r="H16" i="11"/>
  <c r="I16" i="11" s="1"/>
  <c r="M16" i="11"/>
  <c r="N16" i="11"/>
  <c r="H17" i="11"/>
  <c r="I17" i="11" s="1"/>
  <c r="M17" i="11"/>
  <c r="N17" i="11"/>
  <c r="H18" i="11"/>
  <c r="M18" i="11"/>
  <c r="N18" i="11"/>
  <c r="H19" i="11"/>
  <c r="M19" i="11"/>
  <c r="N19" i="11"/>
  <c r="N4" i="11"/>
  <c r="E49" i="11"/>
  <c r="M4" i="11" s="1"/>
  <c r="E75" i="11"/>
  <c r="E74" i="11"/>
  <c r="E59" i="11"/>
  <c r="E56" i="11"/>
  <c r="E39" i="11"/>
  <c r="E34" i="11"/>
  <c r="E32" i="11"/>
  <c r="E30" i="11"/>
  <c r="E18" i="11"/>
  <c r="E19" i="11" s="1"/>
  <c r="J28" i="11" s="1"/>
  <c r="E15" i="11"/>
  <c r="E6" i="11"/>
  <c r="E7" i="11" s="1"/>
  <c r="AJ59" i="10"/>
  <c r="AI59" i="10"/>
  <c r="AH59" i="10"/>
  <c r="AG59" i="10"/>
  <c r="AJ56" i="10"/>
  <c r="AI56" i="10"/>
  <c r="AH56" i="10"/>
  <c r="AG56" i="10"/>
  <c r="AJ42" i="10"/>
  <c r="AJ43" i="10" s="1"/>
  <c r="AI42" i="10"/>
  <c r="AJ39" i="10"/>
  <c r="AI39" i="10"/>
  <c r="AH39" i="10"/>
  <c r="AG39" i="10"/>
  <c r="AJ35" i="10"/>
  <c r="AI35" i="10"/>
  <c r="AH35" i="10"/>
  <c r="AH42" i="10" s="1"/>
  <c r="AH43" i="10" s="1"/>
  <c r="AG35" i="10"/>
  <c r="AG42" i="10" s="1"/>
  <c r="AG43" i="10" s="1"/>
  <c r="AJ34" i="10"/>
  <c r="AI34" i="10"/>
  <c r="AH34" i="10"/>
  <c r="AG34" i="10"/>
  <c r="AJ32" i="10"/>
  <c r="AI32" i="10"/>
  <c r="AH32" i="10"/>
  <c r="AG32" i="10"/>
  <c r="AJ30" i="10"/>
  <c r="AI30" i="10"/>
  <c r="AH30" i="10"/>
  <c r="AG30" i="10"/>
  <c r="AJ18" i="10"/>
  <c r="AJ19" i="10" s="1"/>
  <c r="AJ62" i="10" s="1"/>
  <c r="AI18" i="10"/>
  <c r="AI19" i="10" s="1"/>
  <c r="AI62" i="10" s="1"/>
  <c r="AH18" i="10"/>
  <c r="AH19" i="10" s="1"/>
  <c r="AG18" i="10"/>
  <c r="AG19" i="10" s="1"/>
  <c r="AJ15" i="10"/>
  <c r="AJ82" i="10" s="1"/>
  <c r="AI15" i="10"/>
  <c r="AI82" i="10" s="1"/>
  <c r="AH15" i="10"/>
  <c r="AH16" i="10" s="1"/>
  <c r="AG15" i="10"/>
  <c r="AJ6" i="10"/>
  <c r="AJ7" i="10" s="1"/>
  <c r="AI6" i="10"/>
  <c r="AI7" i="10" s="1"/>
  <c r="AH6" i="10"/>
  <c r="AH7" i="10" s="1"/>
  <c r="AG6" i="10"/>
  <c r="AG7" i="10" s="1"/>
  <c r="AF59" i="10"/>
  <c r="AE59" i="10"/>
  <c r="AD59" i="10"/>
  <c r="AC59" i="10"/>
  <c r="AF56" i="10"/>
  <c r="AE56" i="10"/>
  <c r="AD56" i="10"/>
  <c r="AC56" i="10"/>
  <c r="AF39" i="10"/>
  <c r="AE39" i="10"/>
  <c r="AD39" i="10"/>
  <c r="AC39" i="10"/>
  <c r="AD35" i="10"/>
  <c r="AD42" i="10" s="1"/>
  <c r="AD43" i="10" s="1"/>
  <c r="AC35" i="10"/>
  <c r="AC42" i="10" s="1"/>
  <c r="AC43" i="10" s="1"/>
  <c r="AF34" i="10"/>
  <c r="AE34" i="10"/>
  <c r="AD34" i="10"/>
  <c r="AC34" i="10"/>
  <c r="AF32" i="10"/>
  <c r="AE32" i="10"/>
  <c r="AD32" i="10"/>
  <c r="AC32" i="10"/>
  <c r="AF30" i="10"/>
  <c r="AF35" i="10" s="1"/>
  <c r="AF42" i="10" s="1"/>
  <c r="AF43" i="10" s="1"/>
  <c r="AE30" i="10"/>
  <c r="AE35" i="10" s="1"/>
  <c r="AE42" i="10" s="1"/>
  <c r="AE43" i="10" s="1"/>
  <c r="AD30" i="10"/>
  <c r="AC30" i="10"/>
  <c r="AF18" i="10"/>
  <c r="AF19" i="10" s="1"/>
  <c r="AF54" i="10" s="1"/>
  <c r="AE18" i="10"/>
  <c r="AE19" i="10" s="1"/>
  <c r="AE62" i="10" s="1"/>
  <c r="AD18" i="10"/>
  <c r="AD19" i="10" s="1"/>
  <c r="AC18" i="10"/>
  <c r="AC19" i="10" s="1"/>
  <c r="AF15" i="10"/>
  <c r="AF16" i="10" s="1"/>
  <c r="AE15" i="10"/>
  <c r="AE16" i="10" s="1"/>
  <c r="AD15" i="10"/>
  <c r="AD82" i="10" s="1"/>
  <c r="AC15" i="10"/>
  <c r="AF6" i="10"/>
  <c r="AF7" i="10" s="1"/>
  <c r="AE6" i="10"/>
  <c r="AE7" i="10" s="1"/>
  <c r="AD6" i="10"/>
  <c r="AD7" i="10" s="1"/>
  <c r="AC6" i="10"/>
  <c r="AC7" i="10" s="1"/>
  <c r="AB59" i="10"/>
  <c r="AA59" i="10"/>
  <c r="Z59" i="10"/>
  <c r="Y59" i="10"/>
  <c r="AB56" i="10"/>
  <c r="AA56" i="10"/>
  <c r="Z56" i="10"/>
  <c r="Y56" i="10"/>
  <c r="AB39" i="10"/>
  <c r="AA39" i="10"/>
  <c r="Z39" i="10"/>
  <c r="Y39" i="10"/>
  <c r="AB34" i="10"/>
  <c r="AA34" i="10"/>
  <c r="Z34" i="10"/>
  <c r="Y34" i="10"/>
  <c r="AB32" i="10"/>
  <c r="AA32" i="10"/>
  <c r="Z32" i="10"/>
  <c r="Y32" i="10"/>
  <c r="AB30" i="10"/>
  <c r="AA30" i="10"/>
  <c r="Z30" i="10"/>
  <c r="Y30" i="10"/>
  <c r="AB18" i="10"/>
  <c r="AB19" i="10" s="1"/>
  <c r="AB62" i="10" s="1"/>
  <c r="AA18" i="10"/>
  <c r="AA19" i="10" s="1"/>
  <c r="Z18" i="10"/>
  <c r="Z19" i="10" s="1"/>
  <c r="Y18" i="10"/>
  <c r="Y19" i="10" s="1"/>
  <c r="AB15" i="10"/>
  <c r="AB82" i="10" s="1"/>
  <c r="AA15" i="10"/>
  <c r="AA16" i="10" s="1"/>
  <c r="Z15" i="10"/>
  <c r="Z16" i="10" s="1"/>
  <c r="Y15" i="10"/>
  <c r="Y16" i="10" s="1"/>
  <c r="AB6" i="10"/>
  <c r="AB7" i="10" s="1"/>
  <c r="AA6" i="10"/>
  <c r="AA7" i="10" s="1"/>
  <c r="AA8" i="10" s="1"/>
  <c r="AA9" i="10" s="1"/>
  <c r="Z6" i="10"/>
  <c r="Z7" i="10" s="1"/>
  <c r="Z8" i="10" s="1"/>
  <c r="Z9" i="10" s="1"/>
  <c r="Y6" i="10"/>
  <c r="Y7" i="10" s="1"/>
  <c r="Y6" i="9"/>
  <c r="Y7" i="9" s="1"/>
  <c r="X6" i="9"/>
  <c r="X7" i="9" s="1"/>
  <c r="X8" i="9" s="1"/>
  <c r="X9" i="9" s="1"/>
  <c r="W6" i="9"/>
  <c r="W7" i="9" s="1"/>
  <c r="W8" i="9" s="1"/>
  <c r="W9" i="9" s="1"/>
  <c r="V6" i="9"/>
  <c r="V7" i="9" s="1"/>
  <c r="V10" i="9" s="1"/>
  <c r="U6" i="9"/>
  <c r="U7" i="9" s="1"/>
  <c r="U8" i="9" s="1"/>
  <c r="U9" i="9" s="1"/>
  <c r="T6" i="9"/>
  <c r="T7" i="9" s="1"/>
  <c r="S6" i="9"/>
  <c r="S7" i="9" s="1"/>
  <c r="R6" i="9"/>
  <c r="R7" i="9" s="1"/>
  <c r="Q6" i="9"/>
  <c r="Q7" i="9" s="1"/>
  <c r="P6" i="9"/>
  <c r="P7" i="9" s="1"/>
  <c r="O6" i="9"/>
  <c r="O7" i="9" s="1"/>
  <c r="N6" i="9"/>
  <c r="N7" i="9" s="1"/>
  <c r="M6" i="9"/>
  <c r="M7" i="9" s="1"/>
  <c r="L6" i="9"/>
  <c r="L7" i="9" s="1"/>
  <c r="L8" i="9" s="1"/>
  <c r="L9" i="9" s="1"/>
  <c r="K6" i="9"/>
  <c r="K7" i="9" s="1"/>
  <c r="K8" i="9" s="1"/>
  <c r="K9" i="9" s="1"/>
  <c r="J6" i="9"/>
  <c r="J7" i="9" s="1"/>
  <c r="J8" i="9" s="1"/>
  <c r="J9" i="9" s="1"/>
  <c r="I6" i="9"/>
  <c r="I7" i="9" s="1"/>
  <c r="I10" i="9" s="1"/>
  <c r="H6" i="9"/>
  <c r="H7" i="9" s="1"/>
  <c r="H8" i="9" s="1"/>
  <c r="H9" i="9" s="1"/>
  <c r="G6" i="9"/>
  <c r="G7" i="9" s="1"/>
  <c r="G10" i="9" s="1"/>
  <c r="F6" i="9"/>
  <c r="F7" i="9" s="1"/>
  <c r="E6" i="9"/>
  <c r="E7" i="9" s="1"/>
  <c r="F6" i="10"/>
  <c r="F7" i="10" s="1"/>
  <c r="F8" i="10" s="1"/>
  <c r="F9" i="10" s="1"/>
  <c r="G6" i="10"/>
  <c r="G7" i="10" s="1"/>
  <c r="G8" i="10" s="1"/>
  <c r="G9" i="10" s="1"/>
  <c r="H6" i="10"/>
  <c r="H7" i="10" s="1"/>
  <c r="H8" i="10" s="1"/>
  <c r="H9" i="10" s="1"/>
  <c r="I6" i="10"/>
  <c r="I7" i="10" s="1"/>
  <c r="I8" i="10" s="1"/>
  <c r="I9" i="10" s="1"/>
  <c r="J6" i="10"/>
  <c r="J7" i="10" s="1"/>
  <c r="J8" i="10" s="1"/>
  <c r="J9" i="10" s="1"/>
  <c r="K6" i="10"/>
  <c r="K7" i="10" s="1"/>
  <c r="L6" i="10"/>
  <c r="L7" i="10" s="1"/>
  <c r="M6" i="10"/>
  <c r="M7" i="10" s="1"/>
  <c r="N6" i="10"/>
  <c r="N7" i="10" s="1"/>
  <c r="N8" i="10" s="1"/>
  <c r="N9" i="10" s="1"/>
  <c r="O6" i="10"/>
  <c r="O7" i="10" s="1"/>
  <c r="O8" i="10" s="1"/>
  <c r="O9" i="10" s="1"/>
  <c r="P6" i="10"/>
  <c r="P7" i="10" s="1"/>
  <c r="P8" i="10" s="1"/>
  <c r="P9" i="10" s="1"/>
  <c r="Q6" i="10"/>
  <c r="Q7" i="10" s="1"/>
  <c r="Q8" i="10" s="1"/>
  <c r="Q9" i="10" s="1"/>
  <c r="R6" i="10"/>
  <c r="R7" i="10" s="1"/>
  <c r="R8" i="10" s="1"/>
  <c r="R9" i="10" s="1"/>
  <c r="S6" i="10"/>
  <c r="S7" i="10" s="1"/>
  <c r="S8" i="10" s="1"/>
  <c r="S9" i="10" s="1"/>
  <c r="T6" i="10"/>
  <c r="T7" i="10" s="1"/>
  <c r="T8" i="10" s="1"/>
  <c r="T9" i="10" s="1"/>
  <c r="U6" i="10"/>
  <c r="U7" i="10" s="1"/>
  <c r="U8" i="10" s="1"/>
  <c r="U9" i="10" s="1"/>
  <c r="V6" i="10"/>
  <c r="V7" i="10" s="1"/>
  <c r="V8" i="10" s="1"/>
  <c r="V9" i="10" s="1"/>
  <c r="W6" i="10"/>
  <c r="W7" i="10" s="1"/>
  <c r="W8" i="10" s="1"/>
  <c r="W9" i="10" s="1"/>
  <c r="X6" i="10"/>
  <c r="X7" i="10" s="1"/>
  <c r="X8" i="10" s="1"/>
  <c r="X9" i="10" s="1"/>
  <c r="E6" i="10"/>
  <c r="E7" i="10" s="1"/>
  <c r="E8" i="10" s="1"/>
  <c r="E9" i="10" s="1"/>
  <c r="F49" i="5"/>
  <c r="G49" i="5"/>
  <c r="H49" i="5"/>
  <c r="R75" i="10"/>
  <c r="Q75" i="10"/>
  <c r="R74" i="10"/>
  <c r="Q74" i="10"/>
  <c r="T59" i="10"/>
  <c r="S59" i="10"/>
  <c r="R59" i="10"/>
  <c r="Q59" i="10"/>
  <c r="T56" i="10"/>
  <c r="S56" i="10"/>
  <c r="R56" i="10"/>
  <c r="Q56" i="10"/>
  <c r="T39" i="10"/>
  <c r="S39" i="10"/>
  <c r="R39" i="10"/>
  <c r="Q39" i="10"/>
  <c r="T34" i="10"/>
  <c r="S34" i="10"/>
  <c r="R34" i="10"/>
  <c r="Q34" i="10"/>
  <c r="T32" i="10"/>
  <c r="S32" i="10"/>
  <c r="R32" i="10"/>
  <c r="Q32" i="10"/>
  <c r="T30" i="10"/>
  <c r="S30" i="10"/>
  <c r="R30" i="10"/>
  <c r="Q30" i="10"/>
  <c r="T18" i="10"/>
  <c r="T19" i="10" s="1"/>
  <c r="S18" i="10"/>
  <c r="S19" i="10" s="1"/>
  <c r="R18" i="10"/>
  <c r="R19" i="10" s="1"/>
  <c r="Q18" i="10"/>
  <c r="Q19" i="10" s="1"/>
  <c r="T15" i="10"/>
  <c r="T82" i="10" s="1"/>
  <c r="S15" i="10"/>
  <c r="S82" i="10" s="1"/>
  <c r="R15" i="10"/>
  <c r="R16" i="10" s="1"/>
  <c r="Q15" i="10"/>
  <c r="Q16" i="10" s="1"/>
  <c r="N75" i="10"/>
  <c r="M75" i="10"/>
  <c r="N74" i="10"/>
  <c r="M74" i="10"/>
  <c r="P59" i="10"/>
  <c r="O59" i="10"/>
  <c r="N59" i="10"/>
  <c r="M59" i="10"/>
  <c r="P56" i="10"/>
  <c r="O56" i="10"/>
  <c r="N56" i="10"/>
  <c r="M56" i="10"/>
  <c r="P39" i="10"/>
  <c r="O39" i="10"/>
  <c r="N39" i="10"/>
  <c r="M39" i="10"/>
  <c r="P34" i="10"/>
  <c r="O34" i="10"/>
  <c r="N34" i="10"/>
  <c r="M34" i="10"/>
  <c r="P32" i="10"/>
  <c r="O32" i="10"/>
  <c r="N32" i="10"/>
  <c r="M32" i="10"/>
  <c r="P30" i="10"/>
  <c r="O30" i="10"/>
  <c r="N30" i="10"/>
  <c r="M30" i="10"/>
  <c r="P18" i="10"/>
  <c r="P19" i="10" s="1"/>
  <c r="P54" i="10" s="1"/>
  <c r="O18" i="10"/>
  <c r="O19" i="10" s="1"/>
  <c r="O54" i="10" s="1"/>
  <c r="N18" i="10"/>
  <c r="N19" i="10" s="1"/>
  <c r="N62" i="10" s="1"/>
  <c r="M18" i="10"/>
  <c r="M19" i="10" s="1"/>
  <c r="M62" i="10" s="1"/>
  <c r="P15" i="10"/>
  <c r="O15" i="10"/>
  <c r="N15" i="10"/>
  <c r="N82" i="10" s="1"/>
  <c r="M15" i="10"/>
  <c r="M82" i="10" s="1"/>
  <c r="J75" i="10"/>
  <c r="I75" i="10"/>
  <c r="J74" i="10"/>
  <c r="I74" i="10"/>
  <c r="L59" i="10"/>
  <c r="K59" i="10"/>
  <c r="J59" i="10"/>
  <c r="I59" i="10"/>
  <c r="L56" i="10"/>
  <c r="K56" i="10"/>
  <c r="J56" i="10"/>
  <c r="I56" i="10"/>
  <c r="L39" i="10"/>
  <c r="K39" i="10"/>
  <c r="J39" i="10"/>
  <c r="I39" i="10"/>
  <c r="L34" i="10"/>
  <c r="K34" i="10"/>
  <c r="J34" i="10"/>
  <c r="I34" i="10"/>
  <c r="L32" i="10"/>
  <c r="K32" i="10"/>
  <c r="J32" i="10"/>
  <c r="I32" i="10"/>
  <c r="L30" i="10"/>
  <c r="K30" i="10"/>
  <c r="J30" i="10"/>
  <c r="I30" i="10"/>
  <c r="L18" i="10"/>
  <c r="L19" i="10" s="1"/>
  <c r="K18" i="10"/>
  <c r="K19" i="10" s="1"/>
  <c r="J18" i="10"/>
  <c r="J19" i="10" s="1"/>
  <c r="I18" i="10"/>
  <c r="I19" i="10" s="1"/>
  <c r="L15" i="10"/>
  <c r="L82" i="10" s="1"/>
  <c r="K15" i="10"/>
  <c r="K82" i="10" s="1"/>
  <c r="J15" i="10"/>
  <c r="J16" i="10" s="1"/>
  <c r="I15" i="10"/>
  <c r="I82" i="10" s="1"/>
  <c r="F75" i="10"/>
  <c r="E75" i="10"/>
  <c r="F74" i="10"/>
  <c r="E74" i="10"/>
  <c r="X59" i="10"/>
  <c r="W59" i="10"/>
  <c r="V59" i="10"/>
  <c r="U59" i="10"/>
  <c r="H59" i="10"/>
  <c r="G59" i="10"/>
  <c r="F59" i="10"/>
  <c r="E59" i="10"/>
  <c r="X56" i="10"/>
  <c r="W56" i="10"/>
  <c r="V56" i="10"/>
  <c r="U56" i="10"/>
  <c r="H56" i="10"/>
  <c r="G56" i="10"/>
  <c r="F56" i="10"/>
  <c r="E56" i="10"/>
  <c r="X39" i="10"/>
  <c r="W39" i="10"/>
  <c r="V39" i="10"/>
  <c r="U39" i="10"/>
  <c r="H39" i="10"/>
  <c r="G39" i="10"/>
  <c r="F39" i="10"/>
  <c r="E39" i="10"/>
  <c r="X34" i="10"/>
  <c r="W34" i="10"/>
  <c r="V34" i="10"/>
  <c r="U34" i="10"/>
  <c r="H34" i="10"/>
  <c r="G34" i="10"/>
  <c r="F34" i="10"/>
  <c r="E34" i="10"/>
  <c r="X32" i="10"/>
  <c r="W32" i="10"/>
  <c r="V32" i="10"/>
  <c r="U32" i="10"/>
  <c r="H32" i="10"/>
  <c r="G32" i="10"/>
  <c r="F32" i="10"/>
  <c r="E32" i="10"/>
  <c r="X30" i="10"/>
  <c r="W30" i="10"/>
  <c r="V30" i="10"/>
  <c r="U30" i="10"/>
  <c r="H30" i="10"/>
  <c r="G30" i="10"/>
  <c r="F30" i="10"/>
  <c r="E30" i="10"/>
  <c r="X18" i="10"/>
  <c r="X19" i="10" s="1"/>
  <c r="X54" i="10" s="1"/>
  <c r="W18" i="10"/>
  <c r="W19" i="10" s="1"/>
  <c r="V18" i="10"/>
  <c r="V19" i="10" s="1"/>
  <c r="U18" i="10"/>
  <c r="U19" i="10" s="1"/>
  <c r="H18" i="10"/>
  <c r="H19" i="10" s="1"/>
  <c r="G18" i="10"/>
  <c r="G19" i="10" s="1"/>
  <c r="G62" i="10" s="1"/>
  <c r="F18" i="10"/>
  <c r="F19" i="10" s="1"/>
  <c r="E18" i="10"/>
  <c r="E19" i="10" s="1"/>
  <c r="E62" i="10" s="1"/>
  <c r="X15" i="10"/>
  <c r="W15" i="10"/>
  <c r="V15" i="10"/>
  <c r="U15" i="10"/>
  <c r="H15" i="10"/>
  <c r="G15" i="10"/>
  <c r="G16" i="10" s="1"/>
  <c r="F15" i="10"/>
  <c r="F16" i="10" s="1"/>
  <c r="F67" i="10" s="1"/>
  <c r="E15" i="10"/>
  <c r="AI59" i="9"/>
  <c r="AH59" i="9"/>
  <c r="AI56" i="9"/>
  <c r="AH56" i="9"/>
  <c r="AI39" i="9"/>
  <c r="AH39" i="9"/>
  <c r="AI34" i="9"/>
  <c r="AH34" i="9"/>
  <c r="AI32" i="9"/>
  <c r="AH32" i="9"/>
  <c r="AI30" i="9"/>
  <c r="AH30" i="9"/>
  <c r="AI18" i="9"/>
  <c r="AI19" i="9" s="1"/>
  <c r="AH18" i="9"/>
  <c r="AH19" i="9" s="1"/>
  <c r="AH62" i="9" s="1"/>
  <c r="AI15" i="9"/>
  <c r="AI92" i="9" s="1"/>
  <c r="AH15" i="9"/>
  <c r="AH92" i="9" s="1"/>
  <c r="AG59" i="9"/>
  <c r="AF59" i="9"/>
  <c r="AE59" i="9"/>
  <c r="AD59" i="9"/>
  <c r="AG56" i="9"/>
  <c r="AF56" i="9"/>
  <c r="AE56" i="9"/>
  <c r="AD56" i="9"/>
  <c r="AG39" i="9"/>
  <c r="AF39" i="9"/>
  <c r="AE39" i="9"/>
  <c r="AD39" i="9"/>
  <c r="AG34" i="9"/>
  <c r="AF34" i="9"/>
  <c r="AE34" i="9"/>
  <c r="AD34" i="9"/>
  <c r="AG32" i="9"/>
  <c r="AF32" i="9"/>
  <c r="AE32" i="9"/>
  <c r="AD32" i="9"/>
  <c r="AG30" i="9"/>
  <c r="AF30" i="9"/>
  <c r="AE30" i="9"/>
  <c r="AD30" i="9"/>
  <c r="AG18" i="9"/>
  <c r="AG19" i="9" s="1"/>
  <c r="AG54" i="9" s="1"/>
  <c r="AF18" i="9"/>
  <c r="AF19" i="9" s="1"/>
  <c r="AE18" i="9"/>
  <c r="AE19" i="9" s="1"/>
  <c r="AD18" i="9"/>
  <c r="AD19" i="9" s="1"/>
  <c r="AG15" i="9"/>
  <c r="AF15" i="9"/>
  <c r="AE15" i="9"/>
  <c r="AE92" i="9" s="1"/>
  <c r="AD15" i="9"/>
  <c r="AD16" i="9" s="1"/>
  <c r="AC59" i="9"/>
  <c r="AB59" i="9"/>
  <c r="AC56" i="9"/>
  <c r="AB56" i="9"/>
  <c r="AC39" i="9"/>
  <c r="AB39" i="9"/>
  <c r="AC34" i="9"/>
  <c r="AB34" i="9"/>
  <c r="AC32" i="9"/>
  <c r="AB32" i="9"/>
  <c r="AC30" i="9"/>
  <c r="AB30" i="9"/>
  <c r="AC18" i="9"/>
  <c r="AC19" i="9" s="1"/>
  <c r="AB18" i="9"/>
  <c r="AB19" i="9" s="1"/>
  <c r="AC15" i="9"/>
  <c r="AC92" i="9" s="1"/>
  <c r="AB15" i="9"/>
  <c r="AB92" i="9" s="1"/>
  <c r="AA59" i="9"/>
  <c r="AA56" i="9"/>
  <c r="AA39" i="9"/>
  <c r="AA34" i="9"/>
  <c r="AA32" i="9"/>
  <c r="AA30" i="9"/>
  <c r="AA18" i="9"/>
  <c r="AA19" i="9" s="1"/>
  <c r="AA15" i="9"/>
  <c r="AA92" i="9" s="1"/>
  <c r="Y39" i="9"/>
  <c r="X39" i="9"/>
  <c r="W39" i="9"/>
  <c r="V39" i="9"/>
  <c r="U39" i="9"/>
  <c r="Y59" i="9"/>
  <c r="X59" i="9"/>
  <c r="W59" i="9"/>
  <c r="V59" i="9"/>
  <c r="U59" i="9"/>
  <c r="Y56" i="9"/>
  <c r="X56" i="9"/>
  <c r="W56" i="9"/>
  <c r="V56" i="9"/>
  <c r="U56" i="9"/>
  <c r="Y34" i="9"/>
  <c r="X34" i="9"/>
  <c r="W34" i="9"/>
  <c r="V34" i="9"/>
  <c r="U34" i="9"/>
  <c r="Y32" i="9"/>
  <c r="X32" i="9"/>
  <c r="W32" i="9"/>
  <c r="V32" i="9"/>
  <c r="U32" i="9"/>
  <c r="Y30" i="9"/>
  <c r="X30" i="9"/>
  <c r="W30" i="9"/>
  <c r="V30" i="9"/>
  <c r="U30" i="9"/>
  <c r="Y18" i="9"/>
  <c r="Y19" i="9" s="1"/>
  <c r="Y62" i="9" s="1"/>
  <c r="X18" i="9"/>
  <c r="X19" i="9" s="1"/>
  <c r="X54" i="9" s="1"/>
  <c r="W18" i="9"/>
  <c r="W19" i="9" s="1"/>
  <c r="V18" i="9"/>
  <c r="V19" i="9" s="1"/>
  <c r="U18" i="9"/>
  <c r="U19" i="9" s="1"/>
  <c r="Y15" i="9"/>
  <c r="Y16" i="9" s="1"/>
  <c r="X15" i="9"/>
  <c r="X92" i="9" s="1"/>
  <c r="W15" i="9"/>
  <c r="W16" i="9" s="1"/>
  <c r="V15" i="9"/>
  <c r="V16" i="9" s="1"/>
  <c r="U15" i="9"/>
  <c r="T59" i="9"/>
  <c r="T56" i="9"/>
  <c r="T39" i="9"/>
  <c r="T34" i="9"/>
  <c r="T32" i="9"/>
  <c r="T30" i="9"/>
  <c r="T18" i="9"/>
  <c r="T19" i="9" s="1"/>
  <c r="T15" i="9"/>
  <c r="T16" i="9" s="1"/>
  <c r="S59" i="9"/>
  <c r="S56" i="9"/>
  <c r="S39" i="9"/>
  <c r="S34" i="9"/>
  <c r="S32" i="9"/>
  <c r="S30" i="9"/>
  <c r="S18" i="9"/>
  <c r="S19" i="9" s="1"/>
  <c r="S15" i="9"/>
  <c r="S16" i="9" s="1"/>
  <c r="R59" i="9"/>
  <c r="R56" i="9"/>
  <c r="R39" i="9"/>
  <c r="R34" i="9"/>
  <c r="R32" i="9"/>
  <c r="R30" i="9"/>
  <c r="R18" i="9"/>
  <c r="R19" i="9" s="1"/>
  <c r="R15" i="9"/>
  <c r="R92" i="9" s="1"/>
  <c r="Q59" i="9"/>
  <c r="Q56" i="9"/>
  <c r="Q39" i="9"/>
  <c r="Q34" i="9"/>
  <c r="Q32" i="9"/>
  <c r="Q30" i="9"/>
  <c r="Q18" i="9"/>
  <c r="Q19" i="9" s="1"/>
  <c r="Q15" i="9"/>
  <c r="Q92" i="9" s="1"/>
  <c r="Z15" i="9"/>
  <c r="Z92" i="9" s="1"/>
  <c r="Z18" i="9"/>
  <c r="Z19" i="9" s="1"/>
  <c r="Z54" i="9" s="1"/>
  <c r="Z30" i="9"/>
  <c r="Z32" i="9"/>
  <c r="Z34" i="9"/>
  <c r="Z39" i="9"/>
  <c r="Z56" i="9"/>
  <c r="Z59" i="9"/>
  <c r="M59" i="9"/>
  <c r="M56" i="9"/>
  <c r="M34" i="9"/>
  <c r="M32" i="9"/>
  <c r="M30" i="9"/>
  <c r="M18" i="9"/>
  <c r="M19" i="9" s="1"/>
  <c r="M15" i="9"/>
  <c r="M92" i="9" s="1"/>
  <c r="K59" i="9"/>
  <c r="K56" i="9"/>
  <c r="K34" i="9"/>
  <c r="K32" i="9"/>
  <c r="K30" i="9"/>
  <c r="K18" i="9"/>
  <c r="K19" i="9" s="1"/>
  <c r="K15" i="9"/>
  <c r="K92" i="9" s="1"/>
  <c r="H59" i="9"/>
  <c r="H56" i="9"/>
  <c r="H39" i="9"/>
  <c r="H34" i="9"/>
  <c r="H32" i="9"/>
  <c r="H30" i="9"/>
  <c r="H18" i="9"/>
  <c r="H19" i="9" s="1"/>
  <c r="H15" i="9"/>
  <c r="H92" i="9" s="1"/>
  <c r="F59" i="9"/>
  <c r="F56" i="9"/>
  <c r="F39" i="9"/>
  <c r="F34" i="9"/>
  <c r="F32" i="9"/>
  <c r="F30" i="9"/>
  <c r="F18" i="9"/>
  <c r="F19" i="9" s="1"/>
  <c r="F15" i="9"/>
  <c r="F92" i="9" s="1"/>
  <c r="L59" i="9"/>
  <c r="L56" i="9"/>
  <c r="L34" i="9"/>
  <c r="L32" i="9"/>
  <c r="L30" i="9"/>
  <c r="L18" i="9"/>
  <c r="L19" i="9" s="1"/>
  <c r="L15" i="9"/>
  <c r="L92" i="9" s="1"/>
  <c r="G59" i="9"/>
  <c r="G56" i="9"/>
  <c r="G39" i="9"/>
  <c r="G34" i="9"/>
  <c r="G32" i="9"/>
  <c r="G30" i="9"/>
  <c r="G18" i="9"/>
  <c r="G19" i="9" s="1"/>
  <c r="G15" i="9"/>
  <c r="G92" i="9" s="1"/>
  <c r="J59" i="9"/>
  <c r="J56" i="9"/>
  <c r="J34" i="9"/>
  <c r="J32" i="9"/>
  <c r="J30" i="9"/>
  <c r="J18" i="9"/>
  <c r="J19" i="9" s="1"/>
  <c r="J15" i="9"/>
  <c r="J92" i="9" s="1"/>
  <c r="E59" i="9"/>
  <c r="E56" i="9"/>
  <c r="E39" i="9"/>
  <c r="E34" i="9"/>
  <c r="E32" i="9"/>
  <c r="E30" i="9"/>
  <c r="E18" i="9"/>
  <c r="E19" i="9" s="1"/>
  <c r="E15" i="9"/>
  <c r="E16" i="9" s="1"/>
  <c r="N59" i="9"/>
  <c r="N56" i="9"/>
  <c r="N34" i="9"/>
  <c r="N32" i="9"/>
  <c r="N30" i="9"/>
  <c r="N18" i="9"/>
  <c r="N19" i="9" s="1"/>
  <c r="N15" i="9"/>
  <c r="P59" i="9"/>
  <c r="O59" i="9"/>
  <c r="I59" i="9"/>
  <c r="P56" i="9"/>
  <c r="O56" i="9"/>
  <c r="I56" i="9"/>
  <c r="P39" i="9"/>
  <c r="O39" i="9"/>
  <c r="I39" i="9"/>
  <c r="P34" i="9"/>
  <c r="O34" i="9"/>
  <c r="I34" i="9"/>
  <c r="P32" i="9"/>
  <c r="O32" i="9"/>
  <c r="I32" i="9"/>
  <c r="P30" i="9"/>
  <c r="O30" i="9"/>
  <c r="I30" i="9"/>
  <c r="P18" i="9"/>
  <c r="P19" i="9" s="1"/>
  <c r="O18" i="9"/>
  <c r="O19" i="9" s="1"/>
  <c r="I18" i="9"/>
  <c r="I19" i="9" s="1"/>
  <c r="P15" i="9"/>
  <c r="P16" i="9" s="1"/>
  <c r="P67" i="9" s="1"/>
  <c r="O15" i="9"/>
  <c r="I15" i="9"/>
  <c r="L17" i="8"/>
  <c r="L18" i="8"/>
  <c r="L16" i="8"/>
  <c r="K17" i="8"/>
  <c r="K18" i="8"/>
  <c r="J18" i="8"/>
  <c r="J17" i="8"/>
  <c r="J16" i="8"/>
  <c r="K16" i="8"/>
  <c r="H18" i="8"/>
  <c r="C6" i="8"/>
  <c r="C5" i="8"/>
  <c r="C4" i="8"/>
  <c r="C2" i="8"/>
  <c r="C29" i="8"/>
  <c r="F29" i="8" s="1"/>
  <c r="C26" i="8"/>
  <c r="F26" i="8" s="1"/>
  <c r="H26" i="8" s="1"/>
  <c r="C19" i="8"/>
  <c r="C20" i="8" s="1"/>
  <c r="C22" i="8" s="1"/>
  <c r="F22" i="8" s="1"/>
  <c r="C24" i="8"/>
  <c r="F24" i="8" s="1"/>
  <c r="H24" i="8" s="1"/>
  <c r="F19" i="8"/>
  <c r="F18" i="8"/>
  <c r="C17" i="8"/>
  <c r="C21" i="8" s="1"/>
  <c r="F21" i="8" s="1"/>
  <c r="C15" i="8"/>
  <c r="F15" i="8"/>
  <c r="F16" i="8"/>
  <c r="F14" i="8"/>
  <c r="C13" i="8"/>
  <c r="F13" i="8" s="1"/>
  <c r="F9" i="8"/>
  <c r="F12" i="8"/>
  <c r="C11" i="8"/>
  <c r="F11" i="8" s="1"/>
  <c r="C10" i="8"/>
  <c r="F10" i="8" s="1"/>
  <c r="F51" i="5"/>
  <c r="G51" i="5"/>
  <c r="H51" i="5"/>
  <c r="E51" i="5"/>
  <c r="F48" i="5"/>
  <c r="G48" i="5"/>
  <c r="H48" i="5"/>
  <c r="E48" i="5"/>
  <c r="H13" i="5"/>
  <c r="H14" i="5" s="1"/>
  <c r="H54" i="5" s="1"/>
  <c r="G13" i="5"/>
  <c r="G14" i="5" s="1"/>
  <c r="G54" i="5" s="1"/>
  <c r="F13" i="5"/>
  <c r="F14" i="5" s="1"/>
  <c r="F54" i="5" s="1"/>
  <c r="E13" i="5"/>
  <c r="E14" i="5" s="1"/>
  <c r="E54" i="5" s="1"/>
  <c r="E40" i="5"/>
  <c r="E34" i="5"/>
  <c r="E29" i="5"/>
  <c r="E27" i="5"/>
  <c r="E25" i="5"/>
  <c r="E10" i="5"/>
  <c r="E11" i="5" s="1"/>
  <c r="E59" i="5" s="1"/>
  <c r="H40" i="5"/>
  <c r="H34" i="5"/>
  <c r="H29" i="5"/>
  <c r="H27" i="5"/>
  <c r="H25" i="5"/>
  <c r="H10" i="5"/>
  <c r="H11" i="5" s="1"/>
  <c r="L77" i="2"/>
  <c r="L79" i="2"/>
  <c r="L78" i="2"/>
  <c r="L76" i="2" s="1" a="1"/>
  <c r="L76" i="2" s="1"/>
  <c r="G79" i="2"/>
  <c r="G78" i="2"/>
  <c r="G77" i="2"/>
  <c r="L109" i="2"/>
  <c r="G109" i="2"/>
  <c r="F109" i="2"/>
  <c r="F108" i="2"/>
  <c r="F107" i="2"/>
  <c r="F106" i="2"/>
  <c r="F105" i="2" s="1" a="1"/>
  <c r="F105" i="2" s="1"/>
  <c r="G105" i="2" s="1" a="1"/>
  <c r="G105" i="2" s="1"/>
  <c r="K92" i="2" a="1"/>
  <c r="K92" i="2" s="1"/>
  <c r="F92" i="2" a="1"/>
  <c r="F92" i="2" s="1"/>
  <c r="U85" i="2"/>
  <c r="U83" i="2" s="1"/>
  <c r="P85" i="2"/>
  <c r="K85" i="2" a="1"/>
  <c r="K85" i="2" s="1"/>
  <c r="F85" i="2" a="1"/>
  <c r="F85" i="2" s="1"/>
  <c r="U80" i="2"/>
  <c r="V80" i="2" s="1"/>
  <c r="P80" i="2"/>
  <c r="K80" i="2" a="1"/>
  <c r="K80" i="2" s="1"/>
  <c r="N80" i="2" s="1" a="1"/>
  <c r="N80" i="2" s="1"/>
  <c r="F80" i="2" a="1"/>
  <c r="F80" i="2" s="1"/>
  <c r="K76" i="2" a="1"/>
  <c r="K76" i="2" s="1"/>
  <c r="F76" i="2" a="1"/>
  <c r="F76" i="2" s="1"/>
  <c r="I76" i="2" s="1" a="1"/>
  <c r="I76" i="2" s="1"/>
  <c r="L73" i="2"/>
  <c r="U72" i="2"/>
  <c r="W72" i="2" s="1"/>
  <c r="P72" i="2"/>
  <c r="Q72" i="2" s="1"/>
  <c r="L42" i="2"/>
  <c r="L12" i="2"/>
  <c r="L11" i="2"/>
  <c r="L6" i="2"/>
  <c r="G42" i="2"/>
  <c r="F42" i="2"/>
  <c r="F41" i="2"/>
  <c r="F40" i="2"/>
  <c r="F39" i="2"/>
  <c r="K25" i="2" a="1"/>
  <c r="K25" i="2" s="1"/>
  <c r="K18" i="2" a="1"/>
  <c r="K18" i="2" s="1"/>
  <c r="L18" i="2" s="1" a="1"/>
  <c r="L18" i="2" s="1"/>
  <c r="K13" i="2" a="1"/>
  <c r="K13" i="2" s="1"/>
  <c r="K9" i="2" a="1"/>
  <c r="K9" i="2" s="1"/>
  <c r="F25" i="2" a="1"/>
  <c r="F25" i="2" s="1"/>
  <c r="G25" i="2" s="1"/>
  <c r="F9" i="2" a="1"/>
  <c r="F9" i="2" s="1"/>
  <c r="F18" i="2" a="1"/>
  <c r="F18" i="2" s="1"/>
  <c r="I18" i="2" s="1" a="1"/>
  <c r="I18" i="2" s="1"/>
  <c r="F13" i="2" a="1"/>
  <c r="F13" i="2" s="1"/>
  <c r="P5" i="2"/>
  <c r="Q5" i="2"/>
  <c r="P13" i="2"/>
  <c r="Q13" i="2" s="1"/>
  <c r="P18" i="2"/>
  <c r="Q18" i="2"/>
  <c r="U5" i="2"/>
  <c r="X5" i="2" s="1"/>
  <c r="U13" i="2"/>
  <c r="X13" i="2" s="1"/>
  <c r="U18" i="2"/>
  <c r="X18" i="2" s="1"/>
  <c r="G34" i="5"/>
  <c r="F34" i="5"/>
  <c r="G40" i="5"/>
  <c r="G29" i="5"/>
  <c r="G27" i="5"/>
  <c r="G25" i="5"/>
  <c r="G10" i="5"/>
  <c r="G11" i="5" s="1"/>
  <c r="G59" i="5" s="1"/>
  <c r="F27" i="5"/>
  <c r="F29" i="5"/>
  <c r="F40" i="5"/>
  <c r="F25" i="5"/>
  <c r="F10" i="5"/>
  <c r="F11" i="5" s="1"/>
  <c r="F59" i="5" s="1"/>
  <c r="E12" i="3"/>
  <c r="H13" i="1"/>
  <c r="H12" i="1"/>
  <c r="I5" i="3"/>
  <c r="I6" i="3"/>
  <c r="D24" i="1"/>
  <c r="H15" i="1"/>
  <c r="E11" i="3" s="1"/>
  <c r="H14" i="1"/>
  <c r="H10" i="1"/>
  <c r="H7" i="1"/>
  <c r="E6" i="3" s="1"/>
  <c r="H8" i="1"/>
  <c r="H9" i="1"/>
  <c r="I4" i="3" s="1"/>
  <c r="H6" i="1"/>
  <c r="H5" i="1"/>
  <c r="H3" i="1"/>
  <c r="H4" i="1"/>
  <c r="AI43" i="10" l="1"/>
  <c r="AA10" i="9"/>
  <c r="AI8" i="9"/>
  <c r="AI9" i="9" s="1"/>
  <c r="AI10" i="9"/>
  <c r="AH8" i="9"/>
  <c r="AH9" i="9" s="1"/>
  <c r="AH10" i="9"/>
  <c r="AG8" i="9"/>
  <c r="AG9" i="9" s="1"/>
  <c r="AG10" i="9"/>
  <c r="AF10" i="9"/>
  <c r="AF8" i="9"/>
  <c r="AF9" i="9" s="1"/>
  <c r="AE8" i="9"/>
  <c r="AE9" i="9" s="1"/>
  <c r="AE10" i="9"/>
  <c r="AD8" i="9"/>
  <c r="AD9" i="9" s="1"/>
  <c r="AD10" i="9"/>
  <c r="Z44" i="9"/>
  <c r="AC8" i="9"/>
  <c r="AC9" i="9" s="1"/>
  <c r="AB8" i="9"/>
  <c r="AB9" i="9" s="1"/>
  <c r="L36" i="11"/>
  <c r="K36" i="11"/>
  <c r="L15" i="11"/>
  <c r="K15" i="11"/>
  <c r="K62" i="11"/>
  <c r="L62" i="11"/>
  <c r="L17" i="11"/>
  <c r="K17" i="11"/>
  <c r="L8" i="11"/>
  <c r="K8" i="11"/>
  <c r="L60" i="11"/>
  <c r="V60" i="11" s="1"/>
  <c r="K60" i="11"/>
  <c r="K12" i="11"/>
  <c r="L12" i="11"/>
  <c r="O12" i="11" s="1"/>
  <c r="K50" i="11"/>
  <c r="J63" i="11"/>
  <c r="J61" i="11"/>
  <c r="O61" i="11"/>
  <c r="P61" i="11" s="1"/>
  <c r="O64" i="11"/>
  <c r="Q64" i="11" s="1"/>
  <c r="J62" i="11"/>
  <c r="S62" i="11" s="1"/>
  <c r="J64" i="11"/>
  <c r="O62" i="11"/>
  <c r="J60" i="11"/>
  <c r="J59" i="11"/>
  <c r="S64" i="11"/>
  <c r="V61" i="11"/>
  <c r="Q61" i="11"/>
  <c r="S61" i="11"/>
  <c r="V64" i="11"/>
  <c r="I63" i="11"/>
  <c r="K59" i="11"/>
  <c r="L59" i="11"/>
  <c r="L58" i="11"/>
  <c r="K58" i="11"/>
  <c r="K10" i="11"/>
  <c r="L10" i="11"/>
  <c r="K44" i="11"/>
  <c r="L44" i="11"/>
  <c r="L35" i="11"/>
  <c r="K35" i="11"/>
  <c r="K7" i="11"/>
  <c r="L7" i="11"/>
  <c r="O7" i="11" s="1"/>
  <c r="K51" i="11"/>
  <c r="L51" i="11"/>
  <c r="O51" i="11" s="1"/>
  <c r="Q51" i="11" s="1"/>
  <c r="L55" i="11"/>
  <c r="O55" i="11" s="1"/>
  <c r="K28" i="11"/>
  <c r="S28" i="11" s="1"/>
  <c r="K21" i="11"/>
  <c r="L48" i="11"/>
  <c r="L23" i="11"/>
  <c r="K57" i="11"/>
  <c r="L6" i="11"/>
  <c r="O6" i="11" s="1"/>
  <c r="J35" i="11"/>
  <c r="J6" i="11"/>
  <c r="V6" i="11" s="1"/>
  <c r="J53" i="11"/>
  <c r="J24" i="11"/>
  <c r="J43" i="11"/>
  <c r="J37" i="11"/>
  <c r="S37" i="11" s="1"/>
  <c r="J40" i="11"/>
  <c r="V40" i="11" s="1"/>
  <c r="J4" i="11"/>
  <c r="J13" i="11"/>
  <c r="J30" i="11"/>
  <c r="S30" i="11" s="1"/>
  <c r="J32" i="11"/>
  <c r="J22" i="11"/>
  <c r="V22" i="11" s="1"/>
  <c r="J45" i="11"/>
  <c r="J18" i="11"/>
  <c r="J48" i="11"/>
  <c r="S48" i="11" s="1"/>
  <c r="J27" i="11"/>
  <c r="S27" i="11" s="1"/>
  <c r="O57" i="11"/>
  <c r="J55" i="11"/>
  <c r="J42" i="11"/>
  <c r="O15" i="11"/>
  <c r="J10" i="11"/>
  <c r="S10" i="11" s="1"/>
  <c r="J5" i="11"/>
  <c r="J39" i="11"/>
  <c r="J34" i="11"/>
  <c r="S34" i="11" s="1"/>
  <c r="J31" i="11"/>
  <c r="J47" i="11"/>
  <c r="S47" i="11" s="1"/>
  <c r="J29" i="11"/>
  <c r="J21" i="11"/>
  <c r="S21" i="11" s="1"/>
  <c r="J15" i="11"/>
  <c r="V15" i="11" s="1"/>
  <c r="O44" i="11"/>
  <c r="J17" i="11"/>
  <c r="V17" i="11" s="1"/>
  <c r="J12" i="11"/>
  <c r="J36" i="11"/>
  <c r="S36" i="11" s="1"/>
  <c r="J26" i="11"/>
  <c r="S26" i="11" s="1"/>
  <c r="J23" i="11"/>
  <c r="S23" i="11" s="1"/>
  <c r="O56" i="11"/>
  <c r="J54" i="11"/>
  <c r="S54" i="11" s="1"/>
  <c r="J49" i="11"/>
  <c r="O36" i="11"/>
  <c r="P36" i="11" s="1"/>
  <c r="J14" i="11"/>
  <c r="J7" i="11"/>
  <c r="J44" i="11"/>
  <c r="S44" i="11" s="1"/>
  <c r="J41" i="11"/>
  <c r="S41" i="11" s="1"/>
  <c r="J38" i="11"/>
  <c r="J9" i="11"/>
  <c r="J51" i="11"/>
  <c r="J46" i="11"/>
  <c r="S46" i="11" s="1"/>
  <c r="J33" i="11"/>
  <c r="V33" i="11" s="1"/>
  <c r="O30" i="11"/>
  <c r="J58" i="11"/>
  <c r="J25" i="11"/>
  <c r="J20" i="11"/>
  <c r="S20" i="11" s="1"/>
  <c r="J50" i="11"/>
  <c r="S50" i="11" s="1"/>
  <c r="J8" i="11"/>
  <c r="J57" i="11"/>
  <c r="J52" i="11"/>
  <c r="J19" i="11"/>
  <c r="J16" i="11"/>
  <c r="J11" i="11"/>
  <c r="S11" i="11" s="1"/>
  <c r="J56" i="11"/>
  <c r="V56" i="11" s="1"/>
  <c r="O48" i="11"/>
  <c r="O22" i="11"/>
  <c r="K45" i="11"/>
  <c r="L45" i="11"/>
  <c r="K47" i="11"/>
  <c r="L47" i="11"/>
  <c r="K24" i="11"/>
  <c r="L24" i="11"/>
  <c r="K32" i="11"/>
  <c r="L32" i="11"/>
  <c r="K38" i="11"/>
  <c r="L38" i="11"/>
  <c r="O33" i="11"/>
  <c r="L54" i="11"/>
  <c r="S33" i="11"/>
  <c r="O23" i="11"/>
  <c r="Q23" i="11" s="1"/>
  <c r="L27" i="11"/>
  <c r="L41" i="11"/>
  <c r="K26" i="11"/>
  <c r="L26" i="11"/>
  <c r="V36" i="11"/>
  <c r="L43" i="11"/>
  <c r="K43" i="11"/>
  <c r="S43" i="11" s="1"/>
  <c r="O40" i="11"/>
  <c r="S55" i="11"/>
  <c r="O49" i="11"/>
  <c r="O58" i="11"/>
  <c r="L42" i="11"/>
  <c r="K42" i="11"/>
  <c r="O37" i="11"/>
  <c r="P37" i="11" s="1"/>
  <c r="L29" i="11"/>
  <c r="K29" i="11"/>
  <c r="O50" i="11"/>
  <c r="L46" i="11"/>
  <c r="K25" i="11"/>
  <c r="L25" i="11"/>
  <c r="K52" i="11"/>
  <c r="L52" i="11"/>
  <c r="K39" i="11"/>
  <c r="L39" i="11"/>
  <c r="K31" i="11"/>
  <c r="L31" i="11"/>
  <c r="I53" i="11"/>
  <c r="O21" i="11"/>
  <c r="L34" i="11"/>
  <c r="L20" i="11"/>
  <c r="L9" i="11"/>
  <c r="O9" i="11" s="1"/>
  <c r="P9" i="11" s="1"/>
  <c r="L11" i="11"/>
  <c r="O11" i="11" s="1"/>
  <c r="K16" i="11"/>
  <c r="L16" i="11"/>
  <c r="O17" i="11"/>
  <c r="I13" i="11"/>
  <c r="V11" i="11"/>
  <c r="O8" i="11"/>
  <c r="I19" i="11"/>
  <c r="K14" i="11"/>
  <c r="K5" i="11"/>
  <c r="L5" i="11"/>
  <c r="I18" i="11"/>
  <c r="S9" i="11"/>
  <c r="E35" i="11"/>
  <c r="E42" i="11" s="1"/>
  <c r="E43" i="11" s="1"/>
  <c r="E62" i="11"/>
  <c r="E54" i="11"/>
  <c r="E10" i="11"/>
  <c r="E8" i="11"/>
  <c r="E9" i="11" s="1"/>
  <c r="E82" i="11"/>
  <c r="E16" i="11"/>
  <c r="AI16" i="10"/>
  <c r="AI67" i="10" s="1"/>
  <c r="AJ16" i="10"/>
  <c r="AJ67" i="10" s="1"/>
  <c r="AG62" i="10"/>
  <c r="AG54" i="10"/>
  <c r="AH62" i="10"/>
  <c r="AH54" i="10"/>
  <c r="AG8" i="10"/>
  <c r="AG9" i="10" s="1"/>
  <c r="AG10" i="10"/>
  <c r="AH8" i="10"/>
  <c r="AH9" i="10" s="1"/>
  <c r="AH10" i="10"/>
  <c r="AI8" i="10"/>
  <c r="AI9" i="10" s="1"/>
  <c r="AI10" i="10"/>
  <c r="AJ8" i="10"/>
  <c r="AJ9" i="10" s="1"/>
  <c r="AJ10" i="10"/>
  <c r="AH67" i="10"/>
  <c r="AI54" i="10"/>
  <c r="AG82" i="10"/>
  <c r="AJ54" i="10"/>
  <c r="AH82" i="10"/>
  <c r="AG16" i="10"/>
  <c r="AE10" i="10"/>
  <c r="AE8" i="10"/>
  <c r="AE9" i="10" s="1"/>
  <c r="AF67" i="10"/>
  <c r="AC62" i="10"/>
  <c r="AC54" i="10"/>
  <c r="AF10" i="10"/>
  <c r="AF8" i="10"/>
  <c r="AF9" i="10" s="1"/>
  <c r="AE67" i="10"/>
  <c r="AD62" i="10"/>
  <c r="AD54" i="10"/>
  <c r="AC8" i="10"/>
  <c r="AC9" i="10" s="1"/>
  <c r="AC10" i="10"/>
  <c r="AD8" i="10"/>
  <c r="AD9" i="10" s="1"/>
  <c r="AD10" i="10"/>
  <c r="AC82" i="10"/>
  <c r="AC16" i="10"/>
  <c r="AD16" i="10"/>
  <c r="AF82" i="10"/>
  <c r="AE82" i="10"/>
  <c r="AF62" i="10"/>
  <c r="AE54" i="10"/>
  <c r="AB35" i="10"/>
  <c r="AB42" i="10" s="1"/>
  <c r="AB43" i="10" s="1"/>
  <c r="AA35" i="10"/>
  <c r="AA42" i="10" s="1"/>
  <c r="AA43" i="10" s="1"/>
  <c r="V10" i="10"/>
  <c r="V11" i="10" s="1"/>
  <c r="V23" i="10" s="1"/>
  <c r="AB16" i="10"/>
  <c r="AB67" i="10" s="1"/>
  <c r="AA10" i="10"/>
  <c r="AA11" i="10" s="1"/>
  <c r="J10" i="10"/>
  <c r="J11" i="10" s="1"/>
  <c r="J21" i="10" s="1"/>
  <c r="Z10" i="10"/>
  <c r="Z44" i="10" s="1"/>
  <c r="I10" i="10"/>
  <c r="I44" i="10" s="1"/>
  <c r="Y35" i="10"/>
  <c r="Y42" i="10" s="1"/>
  <c r="Y43" i="10" s="1"/>
  <c r="H10" i="10"/>
  <c r="H11" i="10" s="1"/>
  <c r="H23" i="10" s="1"/>
  <c r="Y82" i="10"/>
  <c r="AB8" i="10"/>
  <c r="AB9" i="10" s="1"/>
  <c r="AB10" i="10"/>
  <c r="K8" i="10"/>
  <c r="K9" i="10" s="1"/>
  <c r="K10" i="10"/>
  <c r="Z67" i="10"/>
  <c r="J44" i="10"/>
  <c r="AA67" i="10"/>
  <c r="Y10" i="10"/>
  <c r="Y8" i="10"/>
  <c r="Y9" i="10" s="1"/>
  <c r="Y62" i="10"/>
  <c r="Y54" i="10"/>
  <c r="Z62" i="10"/>
  <c r="Z54" i="10"/>
  <c r="M8" i="10"/>
  <c r="M9" i="10" s="1"/>
  <c r="M10" i="10"/>
  <c r="AA62" i="10"/>
  <c r="AA54" i="10"/>
  <c r="Y67" i="10"/>
  <c r="L8" i="10"/>
  <c r="L9" i="10" s="1"/>
  <c r="L10" i="10"/>
  <c r="AB54" i="10"/>
  <c r="Z35" i="10"/>
  <c r="Z42" i="10" s="1"/>
  <c r="Z43" i="10" s="1"/>
  <c r="Z82" i="10"/>
  <c r="AA82" i="10"/>
  <c r="V44" i="10"/>
  <c r="Y8" i="9"/>
  <c r="Y9" i="9" s="1"/>
  <c r="Y10" i="9"/>
  <c r="Y44" i="9"/>
  <c r="Y11" i="9"/>
  <c r="AE35" i="9"/>
  <c r="AE42" i="9" s="1"/>
  <c r="AE43" i="9" s="1"/>
  <c r="M8" i="9"/>
  <c r="M9" i="9" s="1"/>
  <c r="M10" i="9"/>
  <c r="N8" i="9"/>
  <c r="N9" i="9" s="1"/>
  <c r="N10" i="9"/>
  <c r="P10" i="9"/>
  <c r="P8" i="9"/>
  <c r="P9" i="9" s="1"/>
  <c r="Q8" i="9"/>
  <c r="Q9" i="9" s="1"/>
  <c r="Q10" i="9"/>
  <c r="S8" i="9"/>
  <c r="S9" i="9" s="1"/>
  <c r="S10" i="9"/>
  <c r="O8" i="9"/>
  <c r="O9" i="9" s="1"/>
  <c r="O10" i="9"/>
  <c r="R8" i="9"/>
  <c r="R9" i="9" s="1"/>
  <c r="R10" i="9"/>
  <c r="E10" i="9"/>
  <c r="E8" i="9"/>
  <c r="E9" i="9" s="1"/>
  <c r="F10" i="9"/>
  <c r="F8" i="9"/>
  <c r="F9" i="9" s="1"/>
  <c r="T10" i="9"/>
  <c r="T8" i="9"/>
  <c r="T9" i="9" s="1"/>
  <c r="U10" i="9"/>
  <c r="G8" i="9"/>
  <c r="G9" i="9" s="1"/>
  <c r="V8" i="9"/>
  <c r="V9" i="9" s="1"/>
  <c r="K10" i="9"/>
  <c r="L10" i="9"/>
  <c r="H10" i="9"/>
  <c r="W10" i="9"/>
  <c r="X10" i="9"/>
  <c r="I8" i="9"/>
  <c r="I9" i="9" s="1"/>
  <c r="AD35" i="9"/>
  <c r="AD42" i="9" s="1"/>
  <c r="AG35" i="9"/>
  <c r="AG42" i="9" s="1"/>
  <c r="AG43" i="9" s="1"/>
  <c r="J10" i="9"/>
  <c r="E10" i="10"/>
  <c r="E11" i="10" s="1"/>
  <c r="E23" i="10" s="1"/>
  <c r="X10" i="10"/>
  <c r="W10" i="10"/>
  <c r="E44" i="10"/>
  <c r="U10" i="10"/>
  <c r="G10" i="10"/>
  <c r="T10" i="10"/>
  <c r="F10" i="10"/>
  <c r="S10" i="10"/>
  <c r="R10" i="10"/>
  <c r="Q10" i="10"/>
  <c r="P10" i="10"/>
  <c r="O10" i="10"/>
  <c r="N10" i="10"/>
  <c r="Q35" i="10"/>
  <c r="Q42" i="10" s="1"/>
  <c r="Q43" i="10" s="1"/>
  <c r="R35" i="10"/>
  <c r="R42" i="10" s="1"/>
  <c r="S35" i="10"/>
  <c r="S42" i="10" s="1"/>
  <c r="S43" i="10" s="1"/>
  <c r="R82" i="10"/>
  <c r="Q82" i="10"/>
  <c r="S16" i="10"/>
  <c r="T16" i="10"/>
  <c r="T67" i="10" s="1"/>
  <c r="O62" i="10"/>
  <c r="P62" i="10"/>
  <c r="R67" i="10"/>
  <c r="Q54" i="10"/>
  <c r="Q62" i="10"/>
  <c r="M35" i="10"/>
  <c r="M42" i="10" s="1"/>
  <c r="M43" i="10" s="1"/>
  <c r="S54" i="10"/>
  <c r="N35" i="10"/>
  <c r="N42" i="10" s="1"/>
  <c r="N43" i="10" s="1"/>
  <c r="T54" i="10"/>
  <c r="R43" i="10"/>
  <c r="O35" i="10"/>
  <c r="O42" i="10" s="1"/>
  <c r="O43" i="10" s="1"/>
  <c r="P35" i="10"/>
  <c r="P42" i="10" s="1"/>
  <c r="P43" i="10" s="1"/>
  <c r="T35" i="10"/>
  <c r="T42" i="10" s="1"/>
  <c r="T43" i="10" s="1"/>
  <c r="S62" i="10"/>
  <c r="Q67" i="10"/>
  <c r="R54" i="10"/>
  <c r="R62" i="10"/>
  <c r="T62" i="10"/>
  <c r="I35" i="10"/>
  <c r="I42" i="10" s="1"/>
  <c r="I43" i="10" s="1"/>
  <c r="J35" i="10"/>
  <c r="J42" i="10" s="1"/>
  <c r="J43" i="10" s="1"/>
  <c r="K16" i="10"/>
  <c r="L16" i="10"/>
  <c r="L67" i="10" s="1"/>
  <c r="M16" i="10"/>
  <c r="M67" i="10" s="1"/>
  <c r="N16" i="10"/>
  <c r="K35" i="10"/>
  <c r="K42" i="10" s="1"/>
  <c r="K43" i="10" s="1"/>
  <c r="L35" i="10"/>
  <c r="L42" i="10" s="1"/>
  <c r="L43" i="10" s="1"/>
  <c r="O16" i="10"/>
  <c r="P16" i="10"/>
  <c r="M54" i="10"/>
  <c r="N54" i="10"/>
  <c r="O82" i="10"/>
  <c r="P82" i="10"/>
  <c r="I16" i="10"/>
  <c r="I67" i="10" s="1"/>
  <c r="J82" i="10"/>
  <c r="J67" i="10"/>
  <c r="I54" i="10"/>
  <c r="I62" i="10"/>
  <c r="J54" i="10"/>
  <c r="J62" i="10"/>
  <c r="K54" i="10"/>
  <c r="L54" i="10"/>
  <c r="K62" i="10"/>
  <c r="L62" i="10"/>
  <c r="AE62" i="9"/>
  <c r="AD62" i="9"/>
  <c r="V35" i="10"/>
  <c r="V42" i="10" s="1"/>
  <c r="V43" i="10" s="1"/>
  <c r="X35" i="10"/>
  <c r="X42" i="10" s="1"/>
  <c r="X43" i="10" s="1"/>
  <c r="G35" i="10"/>
  <c r="G42" i="10" s="1"/>
  <c r="G43" i="10" s="1"/>
  <c r="F35" i="10"/>
  <c r="F42" i="10" s="1"/>
  <c r="U35" i="10"/>
  <c r="U42" i="10" s="1"/>
  <c r="U43" i="10" s="1"/>
  <c r="F82" i="10"/>
  <c r="W35" i="10"/>
  <c r="W42" i="10" s="1"/>
  <c r="W43" i="10" s="1"/>
  <c r="U62" i="10"/>
  <c r="U54" i="10"/>
  <c r="V62" i="10"/>
  <c r="V54" i="10"/>
  <c r="W54" i="10"/>
  <c r="W62" i="10"/>
  <c r="H82" i="10"/>
  <c r="H16" i="10"/>
  <c r="H35" i="10"/>
  <c r="H42" i="10" s="1"/>
  <c r="H43" i="10" s="1"/>
  <c r="U82" i="10"/>
  <c r="V82" i="10"/>
  <c r="U16" i="10"/>
  <c r="W82" i="10"/>
  <c r="V16" i="10"/>
  <c r="X82" i="10"/>
  <c r="X16" i="10"/>
  <c r="W16" i="10"/>
  <c r="G54" i="10"/>
  <c r="H62" i="10"/>
  <c r="H54" i="10"/>
  <c r="G67" i="10"/>
  <c r="X62" i="10"/>
  <c r="G82" i="10"/>
  <c r="E35" i="10"/>
  <c r="E42" i="10" s="1"/>
  <c r="E43" i="10" s="1"/>
  <c r="E65" i="10" s="1"/>
  <c r="E82" i="10"/>
  <c r="E16" i="10"/>
  <c r="E54" i="10"/>
  <c r="F62" i="10"/>
  <c r="F54" i="10"/>
  <c r="AH16" i="9"/>
  <c r="AH67" i="9" s="1"/>
  <c r="AI16" i="9"/>
  <c r="AH54" i="9"/>
  <c r="AI54" i="9"/>
  <c r="AI62" i="9"/>
  <c r="AC35" i="9"/>
  <c r="AC42" i="9" s="1"/>
  <c r="AC43" i="9" s="1"/>
  <c r="AB35" i="9"/>
  <c r="AB42" i="9" s="1"/>
  <c r="AB43" i="9" s="1"/>
  <c r="AF35" i="9"/>
  <c r="AF42" i="9" s="1"/>
  <c r="AF43" i="9" s="1"/>
  <c r="AH35" i="9"/>
  <c r="AH42" i="9" s="1"/>
  <c r="AH43" i="9" s="1"/>
  <c r="AI35" i="9"/>
  <c r="AI42" i="9" s="1"/>
  <c r="AI43" i="9" s="1"/>
  <c r="AD67" i="9"/>
  <c r="AD54" i="9"/>
  <c r="AE54" i="9"/>
  <c r="AF54" i="9"/>
  <c r="AD92" i="9"/>
  <c r="AF92" i="9"/>
  <c r="AG92" i="9"/>
  <c r="AF62" i="9"/>
  <c r="AC16" i="9"/>
  <c r="AC67" i="9" s="1"/>
  <c r="AG16" i="9"/>
  <c r="AE16" i="9"/>
  <c r="AG62" i="9"/>
  <c r="AB16" i="9"/>
  <c r="AB67" i="9" s="1"/>
  <c r="AF16" i="9"/>
  <c r="X35" i="9"/>
  <c r="X42" i="9" s="1"/>
  <c r="AB54" i="9"/>
  <c r="AC54" i="9"/>
  <c r="AA35" i="9"/>
  <c r="AA42" i="9" s="1"/>
  <c r="AA43" i="9" s="1"/>
  <c r="AB62" i="9"/>
  <c r="AC62" i="9"/>
  <c r="Z16" i="9"/>
  <c r="Z67" i="9" s="1"/>
  <c r="AA62" i="9"/>
  <c r="AA54" i="9"/>
  <c r="AA16" i="9"/>
  <c r="X16" i="9"/>
  <c r="V35" i="9"/>
  <c r="V42" i="9" s="1"/>
  <c r="V43" i="9" s="1"/>
  <c r="V92" i="9"/>
  <c r="W35" i="9"/>
  <c r="W42" i="9" s="1"/>
  <c r="W43" i="9" s="1"/>
  <c r="Y92" i="9"/>
  <c r="T35" i="9"/>
  <c r="T42" i="9" s="1"/>
  <c r="T43" i="9" s="1"/>
  <c r="U62" i="9"/>
  <c r="U54" i="9"/>
  <c r="Y67" i="9"/>
  <c r="V62" i="9"/>
  <c r="V54" i="9"/>
  <c r="U92" i="9"/>
  <c r="U16" i="9"/>
  <c r="W54" i="9"/>
  <c r="W62" i="9"/>
  <c r="V67" i="9"/>
  <c r="X62" i="9"/>
  <c r="Y35" i="9"/>
  <c r="Y42" i="9" s="1"/>
  <c r="Y43" i="9" s="1"/>
  <c r="W67" i="9"/>
  <c r="Y54" i="9"/>
  <c r="W92" i="9"/>
  <c r="U35" i="9"/>
  <c r="U42" i="9" s="1"/>
  <c r="U43" i="9" s="1"/>
  <c r="T92" i="9"/>
  <c r="T67" i="9"/>
  <c r="T62" i="9"/>
  <c r="T54" i="9"/>
  <c r="S35" i="9"/>
  <c r="S42" i="9" s="1"/>
  <c r="S43" i="9" s="1"/>
  <c r="S92" i="9"/>
  <c r="S67" i="9"/>
  <c r="S54" i="9"/>
  <c r="S62" i="9"/>
  <c r="Z35" i="9"/>
  <c r="Z42" i="9" s="1"/>
  <c r="Z43" i="9" s="1"/>
  <c r="R35" i="9"/>
  <c r="R42" i="9" s="1"/>
  <c r="R43" i="9" s="1"/>
  <c r="R62" i="9"/>
  <c r="R54" i="9"/>
  <c r="R16" i="9"/>
  <c r="Q35" i="9"/>
  <c r="Q42" i="9" s="1"/>
  <c r="Q43" i="9" s="1"/>
  <c r="Q62" i="9"/>
  <c r="Q54" i="9"/>
  <c r="Z62" i="9"/>
  <c r="Q16" i="9"/>
  <c r="M35" i="9"/>
  <c r="M42" i="9" s="1"/>
  <c r="M43" i="9" s="1"/>
  <c r="Z23" i="9"/>
  <c r="M54" i="9"/>
  <c r="M62" i="9"/>
  <c r="M16" i="9"/>
  <c r="K35" i="9"/>
  <c r="K42" i="9" s="1"/>
  <c r="K43" i="9" s="1"/>
  <c r="K62" i="9"/>
  <c r="K54" i="9"/>
  <c r="K16" i="9"/>
  <c r="L35" i="9"/>
  <c r="L42" i="9" s="1"/>
  <c r="H35" i="9"/>
  <c r="H42" i="9" s="1"/>
  <c r="H43" i="9" s="1"/>
  <c r="H54" i="9"/>
  <c r="H62" i="9"/>
  <c r="H16" i="9"/>
  <c r="F35" i="9"/>
  <c r="F42" i="9" s="1"/>
  <c r="F43" i="9" s="1"/>
  <c r="F54" i="9"/>
  <c r="F62" i="9"/>
  <c r="F16" i="9"/>
  <c r="G35" i="9"/>
  <c r="G42" i="9" s="1"/>
  <c r="G43" i="9" s="1"/>
  <c r="L54" i="9"/>
  <c r="L62" i="9"/>
  <c r="E35" i="9"/>
  <c r="E42" i="9" s="1"/>
  <c r="L16" i="9"/>
  <c r="G62" i="9"/>
  <c r="G54" i="9"/>
  <c r="G16" i="9"/>
  <c r="J62" i="9"/>
  <c r="J54" i="9"/>
  <c r="J16" i="9"/>
  <c r="N35" i="9"/>
  <c r="N42" i="9" s="1"/>
  <c r="J35" i="9"/>
  <c r="J42" i="9" s="1"/>
  <c r="J43" i="9" s="1"/>
  <c r="E67" i="9"/>
  <c r="E62" i="9"/>
  <c r="E54" i="9"/>
  <c r="E92" i="9"/>
  <c r="I35" i="9"/>
  <c r="I42" i="9" s="1"/>
  <c r="I43" i="9" s="1"/>
  <c r="N62" i="9"/>
  <c r="N54" i="9"/>
  <c r="N16" i="9"/>
  <c r="P35" i="9"/>
  <c r="P42" i="9" s="1"/>
  <c r="P43" i="9" s="1"/>
  <c r="N92" i="9"/>
  <c r="O35" i="9"/>
  <c r="O42" i="9" s="1"/>
  <c r="O43" i="9" s="1"/>
  <c r="O62" i="9"/>
  <c r="O54" i="9"/>
  <c r="I62" i="9"/>
  <c r="I54" i="9"/>
  <c r="P54" i="9"/>
  <c r="I92" i="9"/>
  <c r="O92" i="9"/>
  <c r="P92" i="9"/>
  <c r="I16" i="9"/>
  <c r="P62" i="9"/>
  <c r="O16" i="9"/>
  <c r="C23" i="8"/>
  <c r="F23" i="8" s="1"/>
  <c r="C25" i="8"/>
  <c r="F25" i="8" s="1"/>
  <c r="C27" i="8"/>
  <c r="F27" i="8" s="1"/>
  <c r="C28" i="8"/>
  <c r="F28" i="8" s="1"/>
  <c r="F17" i="8"/>
  <c r="F20" i="8"/>
  <c r="H56" i="5"/>
  <c r="F74" i="5"/>
  <c r="G74" i="5"/>
  <c r="H59" i="5"/>
  <c r="H74" i="5"/>
  <c r="E56" i="5"/>
  <c r="F56" i="5"/>
  <c r="G56" i="5"/>
  <c r="E74" i="5"/>
  <c r="E46" i="5"/>
  <c r="H46" i="5"/>
  <c r="G46" i="5"/>
  <c r="F46" i="5"/>
  <c r="E18" i="5"/>
  <c r="E44" i="5"/>
  <c r="G52" i="5"/>
  <c r="F52" i="5"/>
  <c r="H52" i="5"/>
  <c r="E52" i="5"/>
  <c r="E16" i="5"/>
  <c r="H16" i="5"/>
  <c r="H15" i="5" s="1"/>
  <c r="G18" i="5"/>
  <c r="G16" i="5"/>
  <c r="H18" i="5"/>
  <c r="F18" i="5"/>
  <c r="F16" i="5"/>
  <c r="H30" i="5"/>
  <c r="H37" i="5" s="1"/>
  <c r="E30" i="5"/>
  <c r="E37" i="5" s="1"/>
  <c r="H44" i="5"/>
  <c r="X72" i="2"/>
  <c r="V85" i="2"/>
  <c r="W85" i="2"/>
  <c r="X85" i="2"/>
  <c r="W80" i="2"/>
  <c r="X80" i="2"/>
  <c r="N85" i="2" a="1"/>
  <c r="N85" i="2" s="1"/>
  <c r="M85" i="2" a="1"/>
  <c r="M85" i="2" s="1"/>
  <c r="K83" i="2" a="1"/>
  <c r="K83" i="2" s="1"/>
  <c r="L85" i="2" a="1"/>
  <c r="L85" i="2" s="1"/>
  <c r="L83" i="2" s="1" a="1"/>
  <c r="L83" i="2" s="1"/>
  <c r="M83" i="2" a="1"/>
  <c r="M83" i="2" s="1"/>
  <c r="I80" i="2" a="1"/>
  <c r="I80" i="2" s="1"/>
  <c r="H80" i="2" a="1"/>
  <c r="H80" i="2" s="1"/>
  <c r="G80" i="2" a="1"/>
  <c r="G80" i="2" s="1"/>
  <c r="H92" i="2"/>
  <c r="G92" i="2"/>
  <c r="M80" i="2" a="1"/>
  <c r="M80" i="2" s="1"/>
  <c r="L80" i="2" a="1"/>
  <c r="L80" i="2" s="1"/>
  <c r="H76" i="2" a="1"/>
  <c r="H76" i="2" s="1"/>
  <c r="S80" i="2"/>
  <c r="R80" i="2"/>
  <c r="Q80" i="2"/>
  <c r="I92" i="2"/>
  <c r="M92" i="2"/>
  <c r="L92" i="2"/>
  <c r="P83" i="2"/>
  <c r="S85" i="2"/>
  <c r="R85" i="2"/>
  <c r="Q85" i="2"/>
  <c r="S72" i="2"/>
  <c r="R72" i="2"/>
  <c r="I105" i="2" a="1"/>
  <c r="I105" i="2" s="1"/>
  <c r="H105" i="2" a="1"/>
  <c r="H105" i="2" s="1"/>
  <c r="G76" i="2" a="1"/>
  <c r="G76" i="2" s="1"/>
  <c r="X83" i="2"/>
  <c r="W83" i="2"/>
  <c r="V83" i="2"/>
  <c r="I85" i="2" a="1"/>
  <c r="I85" i="2" s="1"/>
  <c r="H85" i="2" a="1"/>
  <c r="H85" i="2" s="1"/>
  <c r="F83" i="2" a="1"/>
  <c r="F83" i="2" s="1"/>
  <c r="F72" i="2" a="1"/>
  <c r="F72" i="2" s="1"/>
  <c r="G85" i="2" a="1"/>
  <c r="G85" i="2" s="1"/>
  <c r="G83" i="2" s="1" a="1"/>
  <c r="G83" i="2" s="1"/>
  <c r="N92" i="2"/>
  <c r="N76" i="2" a="1"/>
  <c r="N76" i="2" s="1"/>
  <c r="K72" i="2" a="1"/>
  <c r="K72" i="2" s="1"/>
  <c r="M76" i="2" a="1"/>
  <c r="M76" i="2" s="1"/>
  <c r="M72" i="2" s="1" a="1"/>
  <c r="M72" i="2" s="1"/>
  <c r="N72" i="2" a="1"/>
  <c r="N72" i="2" s="1"/>
  <c r="V72" i="2"/>
  <c r="F38" i="2" a="1"/>
  <c r="F38" i="2" s="1"/>
  <c r="I38" i="2" s="1" a="1"/>
  <c r="I38" i="2" s="1"/>
  <c r="H9" i="2" a="1"/>
  <c r="H9" i="2" s="1"/>
  <c r="F5" i="2" a="1"/>
  <c r="F5" i="2" s="1"/>
  <c r="I9" i="2" a="1"/>
  <c r="I9" i="2" s="1"/>
  <c r="I5" i="2" s="1" a="1"/>
  <c r="I5" i="2" s="1"/>
  <c r="L13" i="2" a="1"/>
  <c r="L13" i="2" s="1"/>
  <c r="M13" i="2" a="1"/>
  <c r="M13" i="2" s="1"/>
  <c r="H13" i="2" a="1"/>
  <c r="H13" i="2" s="1"/>
  <c r="H25" i="2"/>
  <c r="I13" i="2" a="1"/>
  <c r="I13" i="2" s="1"/>
  <c r="I25" i="2"/>
  <c r="G18" i="2" a="1"/>
  <c r="G18" i="2" s="1"/>
  <c r="H18" i="2" a="1"/>
  <c r="H18" i="2" s="1"/>
  <c r="G9" i="2" a="1"/>
  <c r="G9" i="2" s="1"/>
  <c r="G13" i="2" a="1"/>
  <c r="G13" i="2" s="1"/>
  <c r="N25" i="2"/>
  <c r="M25" i="2"/>
  <c r="L25" i="2"/>
  <c r="N9" i="2" a="1"/>
  <c r="N9" i="2" s="1"/>
  <c r="K5" i="2" a="1"/>
  <c r="K5" i="2" s="1"/>
  <c r="M9" i="2" a="1"/>
  <c r="M9" i="2" s="1"/>
  <c r="L9" i="2" a="1"/>
  <c r="L9" i="2" s="1"/>
  <c r="N13" i="2" a="1"/>
  <c r="N13" i="2" s="1"/>
  <c r="M18" i="2" a="1"/>
  <c r="M18" i="2" s="1"/>
  <c r="K16" i="2" a="1"/>
  <c r="K16" i="2" s="1"/>
  <c r="L16" i="2" s="1" a="1"/>
  <c r="L16" i="2" s="1"/>
  <c r="N18" i="2" a="1"/>
  <c r="N18" i="2" s="1"/>
  <c r="N16" i="2" s="1" a="1"/>
  <c r="N16" i="2" s="1"/>
  <c r="F16" i="2" a="1"/>
  <c r="F16" i="2" s="1"/>
  <c r="I16" i="2" s="1" a="1"/>
  <c r="I16" i="2" s="1"/>
  <c r="P16" i="2"/>
  <c r="Q16" i="2" s="1"/>
  <c r="S13" i="2"/>
  <c r="S18" i="2"/>
  <c r="V18" i="2"/>
  <c r="V13" i="2"/>
  <c r="U16" i="2"/>
  <c r="X16" i="2" s="1"/>
  <c r="V5" i="2"/>
  <c r="W5" i="2"/>
  <c r="W13" i="2"/>
  <c r="W18" i="2"/>
  <c r="R18" i="2"/>
  <c r="G30" i="5"/>
  <c r="G37" i="5" s="1"/>
  <c r="G44" i="5"/>
  <c r="F44" i="5"/>
  <c r="F30" i="5"/>
  <c r="F37" i="5" s="1"/>
  <c r="J13" i="3"/>
  <c r="J12" i="3"/>
  <c r="J11" i="3"/>
  <c r="I8" i="3"/>
  <c r="I3" i="3"/>
  <c r="E7" i="3"/>
  <c r="I7" i="3"/>
  <c r="AA65" i="10" l="1"/>
  <c r="Y23" i="9"/>
  <c r="Y22" i="9" s="1"/>
  <c r="Y21" i="9"/>
  <c r="AE11" i="9"/>
  <c r="AE23" i="9" s="1"/>
  <c r="AE22" i="9" s="1"/>
  <c r="AE44" i="9"/>
  <c r="AF44" i="9"/>
  <c r="AG11" i="9"/>
  <c r="AG23" i="9" s="1"/>
  <c r="AG44" i="9"/>
  <c r="AH11" i="9"/>
  <c r="AH44" i="9"/>
  <c r="AI11" i="9"/>
  <c r="AI23" i="9" s="1"/>
  <c r="AI22" i="9" s="1"/>
  <c r="AI44" i="9"/>
  <c r="AA11" i="9"/>
  <c r="AA23" i="9" s="1"/>
  <c r="AA22" i="9" s="1"/>
  <c r="AA44" i="9"/>
  <c r="AB44" i="9"/>
  <c r="AB11" i="9"/>
  <c r="AB23" i="9" s="1"/>
  <c r="AB22" i="9" s="1"/>
  <c r="AC44" i="9"/>
  <c r="AB66" i="9"/>
  <c r="AD11" i="9"/>
  <c r="AD44" i="9"/>
  <c r="AF11" i="9"/>
  <c r="AF23" i="9" s="1"/>
  <c r="AF22" i="9" s="1"/>
  <c r="AF65" i="9"/>
  <c r="AE55" i="9"/>
  <c r="AC11" i="9"/>
  <c r="S12" i="11"/>
  <c r="O35" i="11"/>
  <c r="O60" i="11"/>
  <c r="V8" i="11"/>
  <c r="O10" i="11"/>
  <c r="V12" i="11"/>
  <c r="S51" i="11"/>
  <c r="V7" i="11"/>
  <c r="V51" i="11"/>
  <c r="P64" i="11"/>
  <c r="R64" i="11" s="1"/>
  <c r="S60" i="11"/>
  <c r="Q6" i="11"/>
  <c r="T6" i="11" s="1"/>
  <c r="W6" i="11" s="1"/>
  <c r="P62" i="11"/>
  <c r="R62" i="11" s="1"/>
  <c r="V23" i="11"/>
  <c r="V48" i="11"/>
  <c r="Q8" i="11"/>
  <c r="Q60" i="11"/>
  <c r="U60" i="11" s="1"/>
  <c r="S40" i="11"/>
  <c r="Q15" i="11"/>
  <c r="Z15" i="11" s="1"/>
  <c r="Q62" i="11"/>
  <c r="T62" i="11" s="1"/>
  <c r="W62" i="11" s="1"/>
  <c r="S6" i="11"/>
  <c r="V62" i="11"/>
  <c r="R61" i="11"/>
  <c r="T60" i="11"/>
  <c r="W60" i="11" s="1"/>
  <c r="T61" i="11"/>
  <c r="W61" i="11" s="1"/>
  <c r="U61" i="11"/>
  <c r="Z61" i="11"/>
  <c r="K63" i="11"/>
  <c r="L63" i="11"/>
  <c r="P60" i="11"/>
  <c r="R60" i="11" s="1"/>
  <c r="T64" i="11"/>
  <c r="W64" i="11" s="1"/>
  <c r="U64" i="11"/>
  <c r="Z64" i="11"/>
  <c r="V59" i="11"/>
  <c r="O59" i="11"/>
  <c r="P59" i="11" s="1"/>
  <c r="S59" i="11"/>
  <c r="V28" i="11"/>
  <c r="O28" i="11"/>
  <c r="P28" i="11" s="1"/>
  <c r="V9" i="11"/>
  <c r="S7" i="11"/>
  <c r="S35" i="11"/>
  <c r="V55" i="11"/>
  <c r="S57" i="11"/>
  <c r="S14" i="11"/>
  <c r="S58" i="11"/>
  <c r="V37" i="11"/>
  <c r="P22" i="11"/>
  <c r="S29" i="11"/>
  <c r="P33" i="11"/>
  <c r="Q50" i="11"/>
  <c r="Z50" i="11" s="1"/>
  <c r="Q30" i="11"/>
  <c r="T30" i="11" s="1"/>
  <c r="W30" i="11" s="1"/>
  <c r="X30" i="11" s="1"/>
  <c r="AA30" i="11" s="1"/>
  <c r="Q55" i="11"/>
  <c r="U55" i="11" s="1"/>
  <c r="S22" i="11"/>
  <c r="P40" i="11"/>
  <c r="V30" i="11"/>
  <c r="Q44" i="11"/>
  <c r="U44" i="11" s="1"/>
  <c r="Q49" i="11"/>
  <c r="T49" i="11" s="1"/>
  <c r="W49" i="11" s="1"/>
  <c r="V10" i="11"/>
  <c r="V35" i="11"/>
  <c r="Q10" i="11"/>
  <c r="T10" i="11" s="1"/>
  <c r="W10" i="11" s="1"/>
  <c r="Q35" i="11"/>
  <c r="Z35" i="11" s="1"/>
  <c r="P12" i="11"/>
  <c r="P30" i="11"/>
  <c r="P49" i="11"/>
  <c r="P23" i="11"/>
  <c r="R23" i="11" s="1"/>
  <c r="Q36" i="11"/>
  <c r="U36" i="11" s="1"/>
  <c r="P6" i="11"/>
  <c r="P55" i="11"/>
  <c r="P50" i="11"/>
  <c r="T15" i="11"/>
  <c r="W15" i="11" s="1"/>
  <c r="Y15" i="11" s="1"/>
  <c r="Q40" i="11"/>
  <c r="T40" i="11" s="1"/>
  <c r="W40" i="11" s="1"/>
  <c r="P57" i="11"/>
  <c r="V57" i="11"/>
  <c r="Q37" i="11"/>
  <c r="T37" i="11" s="1"/>
  <c r="W37" i="11" s="1"/>
  <c r="V50" i="11"/>
  <c r="P58" i="11"/>
  <c r="S17" i="11"/>
  <c r="P7" i="11"/>
  <c r="Q22" i="11"/>
  <c r="V58" i="11"/>
  <c r="S49" i="11"/>
  <c r="P17" i="11"/>
  <c r="S8" i="11"/>
  <c r="U15" i="11"/>
  <c r="P44" i="11"/>
  <c r="Q57" i="11"/>
  <c r="Z57" i="11" s="1"/>
  <c r="P11" i="11"/>
  <c r="V21" i="11"/>
  <c r="V49" i="11"/>
  <c r="P15" i="11"/>
  <c r="S15" i="11"/>
  <c r="Q12" i="11"/>
  <c r="Q48" i="11"/>
  <c r="T48" i="11" s="1"/>
  <c r="W48" i="11" s="1"/>
  <c r="P48" i="11"/>
  <c r="P51" i="11"/>
  <c r="R51" i="11" s="1"/>
  <c r="V44" i="11"/>
  <c r="P56" i="11"/>
  <c r="S56" i="11"/>
  <c r="Q56" i="11"/>
  <c r="U35" i="11"/>
  <c r="O32" i="11"/>
  <c r="Q32" i="11" s="1"/>
  <c r="V32" i="11"/>
  <c r="K53" i="11"/>
  <c r="L53" i="11"/>
  <c r="P21" i="11"/>
  <c r="Q21" i="11"/>
  <c r="O39" i="11"/>
  <c r="Q39" i="11" s="1"/>
  <c r="V39" i="11"/>
  <c r="S39" i="11"/>
  <c r="O46" i="11"/>
  <c r="V46" i="11"/>
  <c r="Q33" i="11"/>
  <c r="P35" i="11"/>
  <c r="O25" i="11"/>
  <c r="Q25" i="11" s="1"/>
  <c r="V25" i="11"/>
  <c r="S25" i="11"/>
  <c r="S32" i="11"/>
  <c r="O24" i="11"/>
  <c r="P24" i="11" s="1"/>
  <c r="V24" i="11"/>
  <c r="O52" i="11"/>
  <c r="P52" i="11" s="1"/>
  <c r="V52" i="11"/>
  <c r="S42" i="11"/>
  <c r="V20" i="11"/>
  <c r="O20" i="11"/>
  <c r="O29" i="11"/>
  <c r="Q29" i="11" s="1"/>
  <c r="V29" i="11"/>
  <c r="T23" i="11"/>
  <c r="W23" i="11" s="1"/>
  <c r="U23" i="11"/>
  <c r="Z23" i="11"/>
  <c r="V27" i="11"/>
  <c r="O27" i="11"/>
  <c r="V34" i="11"/>
  <c r="O34" i="11"/>
  <c r="S24" i="11"/>
  <c r="V31" i="11"/>
  <c r="O31" i="11"/>
  <c r="P31" i="11" s="1"/>
  <c r="S52" i="11"/>
  <c r="Q58" i="11"/>
  <c r="V41" i="11"/>
  <c r="O41" i="11"/>
  <c r="O47" i="11"/>
  <c r="V47" i="11"/>
  <c r="O26" i="11"/>
  <c r="P26" i="11" s="1"/>
  <c r="V26" i="11"/>
  <c r="T51" i="11"/>
  <c r="W51" i="11" s="1"/>
  <c r="U51" i="11"/>
  <c r="Z51" i="11"/>
  <c r="O43" i="11"/>
  <c r="Q43" i="11" s="1"/>
  <c r="V43" i="11"/>
  <c r="S31" i="11"/>
  <c r="O38" i="11"/>
  <c r="Q38" i="11" s="1"/>
  <c r="V38" i="11"/>
  <c r="V45" i="11"/>
  <c r="O45" i="11"/>
  <c r="Q45" i="11" s="1"/>
  <c r="O42" i="11"/>
  <c r="Q42" i="11" s="1"/>
  <c r="V42" i="11"/>
  <c r="V54" i="11"/>
  <c r="O54" i="11"/>
  <c r="S38" i="11"/>
  <c r="S45" i="11"/>
  <c r="P8" i="11"/>
  <c r="R8" i="11" s="1"/>
  <c r="Q9" i="11"/>
  <c r="R9" i="11" s="1"/>
  <c r="Q7" i="11"/>
  <c r="Q11" i="11"/>
  <c r="U11" i="11" s="1"/>
  <c r="Z8" i="11"/>
  <c r="T8" i="11"/>
  <c r="W8" i="11" s="1"/>
  <c r="U8" i="11"/>
  <c r="O16" i="11"/>
  <c r="Q16" i="11" s="1"/>
  <c r="V16" i="11"/>
  <c r="S16" i="11"/>
  <c r="O5" i="11"/>
  <c r="P5" i="11" s="1"/>
  <c r="V5" i="11"/>
  <c r="O14" i="11"/>
  <c r="Q17" i="11"/>
  <c r="V14" i="11"/>
  <c r="P10" i="11"/>
  <c r="S5" i="11"/>
  <c r="K13" i="11"/>
  <c r="L13" i="11"/>
  <c r="K19" i="11"/>
  <c r="L19" i="11"/>
  <c r="L18" i="11"/>
  <c r="K18" i="11"/>
  <c r="E67" i="11"/>
  <c r="E44" i="11"/>
  <c r="E11" i="11"/>
  <c r="AG11" i="10"/>
  <c r="AG44" i="10"/>
  <c r="I11" i="10"/>
  <c r="I23" i="10" s="1"/>
  <c r="I22" i="10" s="1"/>
  <c r="AG21" i="10"/>
  <c r="AG67" i="10"/>
  <c r="AJ11" i="10"/>
  <c r="AJ44" i="10"/>
  <c r="AI11" i="10"/>
  <c r="AI44" i="10"/>
  <c r="AH11" i="10"/>
  <c r="AH44" i="10"/>
  <c r="AD67" i="10"/>
  <c r="AA55" i="10"/>
  <c r="H44" i="10"/>
  <c r="AA23" i="10"/>
  <c r="AA28" i="10" s="1"/>
  <c r="AA21" i="10"/>
  <c r="AA20" i="10" s="1"/>
  <c r="AC67" i="10"/>
  <c r="AA66" i="10"/>
  <c r="AF11" i="10"/>
  <c r="AF44" i="10"/>
  <c r="V66" i="10"/>
  <c r="AD44" i="10"/>
  <c r="AD11" i="10"/>
  <c r="AC44" i="10"/>
  <c r="AC11" i="10"/>
  <c r="AC21" i="10" s="1"/>
  <c r="AA44" i="10"/>
  <c r="AE11" i="10"/>
  <c r="AE44" i="10"/>
  <c r="AA53" i="10"/>
  <c r="Z11" i="10"/>
  <c r="Z66" i="10" s="1"/>
  <c r="Z53" i="10"/>
  <c r="Z55" i="10"/>
  <c r="Z65" i="10"/>
  <c r="Z21" i="10"/>
  <c r="Q11" i="10"/>
  <c r="Q53" i="10" s="1"/>
  <c r="Q44" i="10"/>
  <c r="R11" i="10"/>
  <c r="R23" i="10" s="1"/>
  <c r="R22" i="10" s="1"/>
  <c r="R44" i="10"/>
  <c r="S11" i="10"/>
  <c r="S23" i="10" s="1"/>
  <c r="S28" i="10" s="1"/>
  <c r="S44" i="10"/>
  <c r="J23" i="10"/>
  <c r="J22" i="10" s="1"/>
  <c r="F11" i="10"/>
  <c r="F55" i="10" s="1"/>
  <c r="F44" i="10"/>
  <c r="T11" i="10"/>
  <c r="T23" i="10" s="1"/>
  <c r="T22" i="10" s="1"/>
  <c r="T44" i="10"/>
  <c r="G11" i="10"/>
  <c r="G65" i="10" s="1"/>
  <c r="G44" i="10"/>
  <c r="U11" i="10"/>
  <c r="U23" i="10" s="1"/>
  <c r="U22" i="10" s="1"/>
  <c r="U44" i="10"/>
  <c r="Y44" i="10"/>
  <c r="Y11" i="10"/>
  <c r="W11" i="10"/>
  <c r="W23" i="10" s="1"/>
  <c r="W28" i="10" s="1"/>
  <c r="W44" i="10"/>
  <c r="M11" i="10"/>
  <c r="M23" i="10" s="1"/>
  <c r="M22" i="10" s="1"/>
  <c r="M44" i="10"/>
  <c r="AA68" i="10"/>
  <c r="AA81" i="10" s="1"/>
  <c r="X11" i="10"/>
  <c r="X23" i="10" s="1"/>
  <c r="X28" i="10" s="1"/>
  <c r="X27" i="10" s="1"/>
  <c r="X44" i="10"/>
  <c r="K11" i="10"/>
  <c r="K23" i="10" s="1"/>
  <c r="K22" i="10" s="1"/>
  <c r="K44" i="10"/>
  <c r="J66" i="10"/>
  <c r="N11" i="10"/>
  <c r="N23" i="10" s="1"/>
  <c r="N22" i="10" s="1"/>
  <c r="N44" i="10"/>
  <c r="H66" i="10"/>
  <c r="O11" i="10"/>
  <c r="O23" i="10" s="1"/>
  <c r="O22" i="10" s="1"/>
  <c r="O44" i="10"/>
  <c r="P11" i="10"/>
  <c r="P23" i="10" s="1"/>
  <c r="P22" i="10" s="1"/>
  <c r="P44" i="10"/>
  <c r="L11" i="10"/>
  <c r="L23" i="10" s="1"/>
  <c r="L22" i="10" s="1"/>
  <c r="L44" i="10"/>
  <c r="AB11" i="10"/>
  <c r="AB44" i="10"/>
  <c r="Y66" i="9"/>
  <c r="AD43" i="9"/>
  <c r="I44" i="9"/>
  <c r="V11" i="9"/>
  <c r="V55" i="9" s="1"/>
  <c r="V44" i="9"/>
  <c r="U11" i="9"/>
  <c r="U23" i="9" s="1"/>
  <c r="U28" i="9" s="1"/>
  <c r="U44" i="9"/>
  <c r="P44" i="9"/>
  <c r="P11" i="9"/>
  <c r="P53" i="9" s="1"/>
  <c r="N44" i="9"/>
  <c r="N11" i="9"/>
  <c r="N23" i="9" s="1"/>
  <c r="N22" i="9" s="1"/>
  <c r="F44" i="9"/>
  <c r="F11" i="9"/>
  <c r="F23" i="9" s="1"/>
  <c r="F22" i="9" s="1"/>
  <c r="M11" i="9"/>
  <c r="M23" i="9" s="1"/>
  <c r="M22" i="9" s="1"/>
  <c r="M44" i="9"/>
  <c r="E11" i="9"/>
  <c r="E53" i="9" s="1"/>
  <c r="E44" i="9"/>
  <c r="X11" i="9"/>
  <c r="X23" i="9" s="1"/>
  <c r="X22" i="9" s="1"/>
  <c r="X44" i="9"/>
  <c r="R11" i="9"/>
  <c r="R23" i="9" s="1"/>
  <c r="R22" i="9" s="1"/>
  <c r="R44" i="9"/>
  <c r="G44" i="9"/>
  <c r="W44" i="9"/>
  <c r="W11" i="9"/>
  <c r="W65" i="9" s="1"/>
  <c r="I11" i="9"/>
  <c r="I23" i="9" s="1"/>
  <c r="I28" i="9" s="1"/>
  <c r="O44" i="9"/>
  <c r="O11" i="9"/>
  <c r="O23" i="9" s="1"/>
  <c r="O22" i="9" s="1"/>
  <c r="K11" i="9"/>
  <c r="K23" i="9" s="1"/>
  <c r="K22" i="9" s="1"/>
  <c r="K44" i="9"/>
  <c r="Q44" i="9"/>
  <c r="Q11" i="9"/>
  <c r="Q23" i="9" s="1"/>
  <c r="Q22" i="9" s="1"/>
  <c r="T44" i="9"/>
  <c r="T11" i="9"/>
  <c r="T66" i="9" s="1"/>
  <c r="J11" i="9"/>
  <c r="J23" i="9" s="1"/>
  <c r="J28" i="9" s="1"/>
  <c r="J44" i="9"/>
  <c r="H11" i="9"/>
  <c r="H23" i="9" s="1"/>
  <c r="H28" i="9" s="1"/>
  <c r="H44" i="9"/>
  <c r="L11" i="9"/>
  <c r="L23" i="9" s="1"/>
  <c r="L28" i="9" s="1"/>
  <c r="L44" i="9"/>
  <c r="S11" i="9"/>
  <c r="S53" i="9" s="1"/>
  <c r="S44" i="9"/>
  <c r="G11" i="9"/>
  <c r="G23" i="9" s="1"/>
  <c r="G28" i="9" s="1"/>
  <c r="AB55" i="9"/>
  <c r="AB21" i="9"/>
  <c r="AB26" i="9" s="1"/>
  <c r="AB77" i="9" s="1"/>
  <c r="O65" i="10"/>
  <c r="K67" i="10"/>
  <c r="J53" i="10"/>
  <c r="S67" i="10"/>
  <c r="I55" i="10"/>
  <c r="I66" i="10"/>
  <c r="J55" i="10"/>
  <c r="J65" i="10"/>
  <c r="V55" i="10"/>
  <c r="I53" i="10"/>
  <c r="V65" i="10"/>
  <c r="N67" i="10"/>
  <c r="I21" i="10"/>
  <c r="I68" i="10" s="1"/>
  <c r="I81" i="10" s="1"/>
  <c r="P67" i="10"/>
  <c r="O67" i="10"/>
  <c r="J68" i="10"/>
  <c r="J81" i="10" s="1"/>
  <c r="J20" i="10"/>
  <c r="J26" i="10"/>
  <c r="F53" i="10"/>
  <c r="F43" i="10"/>
  <c r="AB28" i="9"/>
  <c r="AB58" i="9" s="1"/>
  <c r="E66" i="10"/>
  <c r="H55" i="10"/>
  <c r="H21" i="10"/>
  <c r="H53" i="10"/>
  <c r="H67" i="10"/>
  <c r="V67" i="10"/>
  <c r="V53" i="10"/>
  <c r="V21" i="10"/>
  <c r="E67" i="10"/>
  <c r="E53" i="10"/>
  <c r="E21" i="10"/>
  <c r="E22" i="10"/>
  <c r="E28" i="10"/>
  <c r="W67" i="10"/>
  <c r="V28" i="10"/>
  <c r="V22" i="10"/>
  <c r="X67" i="10"/>
  <c r="H65" i="10"/>
  <c r="U67" i="10"/>
  <c r="E55" i="10"/>
  <c r="H28" i="10"/>
  <c r="H22" i="10"/>
  <c r="AI67" i="9"/>
  <c r="AI21" i="9"/>
  <c r="X43" i="9"/>
  <c r="AI55" i="9"/>
  <c r="AI65" i="9"/>
  <c r="AE65" i="9"/>
  <c r="AE66" i="9"/>
  <c r="AG67" i="9"/>
  <c r="AG21" i="9"/>
  <c r="AE67" i="9"/>
  <c r="AE53" i="9"/>
  <c r="AF67" i="9"/>
  <c r="AF21" i="9"/>
  <c r="AG28" i="9"/>
  <c r="AG22" i="9"/>
  <c r="AF28" i="9"/>
  <c r="Z21" i="9"/>
  <c r="Z20" i="9" s="1"/>
  <c r="AA67" i="9"/>
  <c r="X67" i="9"/>
  <c r="Y55" i="9"/>
  <c r="Y65" i="9"/>
  <c r="Y53" i="9"/>
  <c r="Y28" i="9"/>
  <c r="Y58" i="9" s="1"/>
  <c r="U67" i="9"/>
  <c r="Y26" i="9"/>
  <c r="Y77" i="9" s="1"/>
  <c r="Y20" i="9"/>
  <c r="Z66" i="9"/>
  <c r="Z65" i="9"/>
  <c r="Z53" i="9"/>
  <c r="Z55" i="9"/>
  <c r="R67" i="9"/>
  <c r="Q67" i="9"/>
  <c r="Z22" i="9"/>
  <c r="Z28" i="9"/>
  <c r="M67" i="9"/>
  <c r="L43" i="9"/>
  <c r="K67" i="9"/>
  <c r="H67" i="9"/>
  <c r="F67" i="9"/>
  <c r="L67" i="9"/>
  <c r="N43" i="9"/>
  <c r="E43" i="9"/>
  <c r="G67" i="9"/>
  <c r="J67" i="9"/>
  <c r="N67" i="9"/>
  <c r="I67" i="9"/>
  <c r="O67" i="9"/>
  <c r="E15" i="5"/>
  <c r="E60" i="5"/>
  <c r="E73" i="5" s="1"/>
  <c r="E47" i="5"/>
  <c r="E38" i="5"/>
  <c r="F47" i="5"/>
  <c r="F38" i="5"/>
  <c r="H47" i="5"/>
  <c r="H38" i="5"/>
  <c r="G47" i="5"/>
  <c r="G38" i="5"/>
  <c r="E21" i="5"/>
  <c r="E49" i="5" s="1"/>
  <c r="E20" i="5"/>
  <c r="H21" i="5"/>
  <c r="H60" i="5" s="1"/>
  <c r="H73" i="5" s="1"/>
  <c r="E17" i="5"/>
  <c r="E23" i="5"/>
  <c r="F15" i="5"/>
  <c r="F21" i="5"/>
  <c r="F42" i="5" s="1"/>
  <c r="F17" i="5"/>
  <c r="F23" i="5"/>
  <c r="H17" i="5"/>
  <c r="H23" i="5"/>
  <c r="G15" i="5"/>
  <c r="G21" i="5"/>
  <c r="G17" i="5"/>
  <c r="G23" i="5"/>
  <c r="H45" i="5"/>
  <c r="E45" i="5"/>
  <c r="F45" i="5"/>
  <c r="H83" i="2" a="1"/>
  <c r="H83" i="2" s="1"/>
  <c r="N83" i="2" a="1"/>
  <c r="N83" i="2" s="1"/>
  <c r="F91" i="2" a="1"/>
  <c r="F91" i="2" s="1"/>
  <c r="I83" i="2" a="1"/>
  <c r="I83" i="2" s="1"/>
  <c r="Q83" i="2"/>
  <c r="S83" i="2"/>
  <c r="R83" i="2"/>
  <c r="G72" i="2" a="1"/>
  <c r="G72" i="2" s="1"/>
  <c r="G91" i="2" s="1" a="1"/>
  <c r="G91" i="2" s="1"/>
  <c r="H72" i="2" a="1"/>
  <c r="H72" i="2" s="1"/>
  <c r="H91" i="2" s="1" a="1"/>
  <c r="H91" i="2" s="1"/>
  <c r="I72" i="2" a="1"/>
  <c r="I72" i="2" s="1"/>
  <c r="I91" i="2" s="1" a="1"/>
  <c r="I91" i="2" s="1"/>
  <c r="K91" i="2" a="1"/>
  <c r="K91" i="2" s="1"/>
  <c r="N91" i="2" a="1"/>
  <c r="N91" i="2" s="1"/>
  <c r="L72" i="2" a="1"/>
  <c r="L72" i="2" s="1"/>
  <c r="L91" i="2" s="1" a="1"/>
  <c r="L91" i="2" s="1"/>
  <c r="H38" i="2" a="1"/>
  <c r="H38" i="2" s="1"/>
  <c r="G38" i="2" a="1"/>
  <c r="G38" i="2" s="1"/>
  <c r="H5" i="2" a="1"/>
  <c r="H5" i="2" s="1"/>
  <c r="G5" i="2" a="1"/>
  <c r="G5" i="2" s="1"/>
  <c r="H16" i="2" a="1"/>
  <c r="H16" i="2" s="1"/>
  <c r="G16" i="2" a="1"/>
  <c r="G16" i="2" s="1"/>
  <c r="N5" i="2" a="1"/>
  <c r="N5" i="2" s="1"/>
  <c r="M16" i="2" a="1"/>
  <c r="M16" i="2" s="1"/>
  <c r="L5" i="2" a="1"/>
  <c r="L5" i="2" s="1"/>
  <c r="M5" i="2" a="1"/>
  <c r="M5" i="2" s="1"/>
  <c r="K24" i="2" a="1"/>
  <c r="K24" i="2" s="1"/>
  <c r="N24" i="2" s="1" a="1"/>
  <c r="N24" i="2" s="1"/>
  <c r="F24" i="2" a="1"/>
  <c r="F24" i="2" s="1"/>
  <c r="I24" i="2" a="1"/>
  <c r="I24" i="2" s="1"/>
  <c r="G24" i="2" a="1"/>
  <c r="G24" i="2" s="1"/>
  <c r="R13" i="2"/>
  <c r="R5" i="2"/>
  <c r="S16" i="2"/>
  <c r="R16" i="2"/>
  <c r="W16" i="2"/>
  <c r="V16" i="2"/>
  <c r="I28" i="10" l="1"/>
  <c r="AG65" i="9"/>
  <c r="AG53" i="9"/>
  <c r="AG66" i="9"/>
  <c r="AA21" i="9"/>
  <c r="AA26" i="9" s="1"/>
  <c r="AA77" i="9" s="1"/>
  <c r="AA55" i="9"/>
  <c r="AA53" i="9"/>
  <c r="AI53" i="9"/>
  <c r="AE28" i="9"/>
  <c r="AE51" i="9" s="1"/>
  <c r="AE63" i="9" s="1"/>
  <c r="AE88" i="9" s="1"/>
  <c r="AE89" i="9" s="1"/>
  <c r="AI28" i="9"/>
  <c r="AI58" i="9" s="1"/>
  <c r="AI86" i="9" s="1"/>
  <c r="AI87" i="9" s="1"/>
  <c r="AH23" i="9"/>
  <c r="AH66" i="9"/>
  <c r="AH21" i="9"/>
  <c r="AH26" i="9" s="1"/>
  <c r="AH77" i="9" s="1"/>
  <c r="AH53" i="9"/>
  <c r="AH55" i="9"/>
  <c r="AC23" i="9"/>
  <c r="AC21" i="9"/>
  <c r="AC26" i="9" s="1"/>
  <c r="AC77" i="9" s="1"/>
  <c r="AC53" i="9"/>
  <c r="AC65" i="9"/>
  <c r="AC55" i="9"/>
  <c r="AD21" i="9"/>
  <c r="AD23" i="9"/>
  <c r="AD53" i="9"/>
  <c r="AD55" i="9"/>
  <c r="AH65" i="9"/>
  <c r="AG55" i="9"/>
  <c r="AF53" i="9"/>
  <c r="AD66" i="9"/>
  <c r="E55" i="9"/>
  <c r="AF66" i="9"/>
  <c r="AA66" i="9"/>
  <c r="AA28" i="9"/>
  <c r="AA51" i="9" s="1"/>
  <c r="AA63" i="9" s="1"/>
  <c r="AA88" i="9" s="1"/>
  <c r="AA89" i="9" s="1"/>
  <c r="AE21" i="9"/>
  <c r="AE26" i="9" s="1"/>
  <c r="AE77" i="9" s="1"/>
  <c r="AB65" i="9"/>
  <c r="AB53" i="9"/>
  <c r="AA65" i="9"/>
  <c r="AF55" i="9"/>
  <c r="AI66" i="9"/>
  <c r="AC66" i="9"/>
  <c r="Z62" i="11"/>
  <c r="U62" i="11"/>
  <c r="Z6" i="11"/>
  <c r="Z30" i="11"/>
  <c r="U6" i="11"/>
  <c r="U30" i="11"/>
  <c r="Q28" i="11"/>
  <c r="R28" i="11" s="1"/>
  <c r="Z60" i="11"/>
  <c r="Z55" i="11"/>
  <c r="R6" i="11"/>
  <c r="R15" i="11"/>
  <c r="Q59" i="11"/>
  <c r="Z59" i="11" s="1"/>
  <c r="R35" i="11"/>
  <c r="Y62" i="11"/>
  <c r="AC62" i="11"/>
  <c r="AD62" i="11" s="1"/>
  <c r="X62" i="11"/>
  <c r="AA62" i="11" s="1"/>
  <c r="X64" i="11"/>
  <c r="AA64" i="11" s="1"/>
  <c r="AB64" i="11" s="1"/>
  <c r="AC64" i="11"/>
  <c r="AD64" i="11" s="1"/>
  <c r="Y64" i="11"/>
  <c r="O63" i="11"/>
  <c r="P63" i="11" s="1"/>
  <c r="V63" i="11"/>
  <c r="S63" i="11"/>
  <c r="AC61" i="11"/>
  <c r="AD61" i="11" s="1"/>
  <c r="X61" i="11"/>
  <c r="AA61" i="11" s="1"/>
  <c r="AB61" i="11" s="1"/>
  <c r="Y61" i="11"/>
  <c r="Y60" i="11"/>
  <c r="X60" i="11"/>
  <c r="AA60" i="11" s="1"/>
  <c r="AB60" i="11" s="1"/>
  <c r="AC60" i="11"/>
  <c r="AD60" i="11" s="1"/>
  <c r="R55" i="11"/>
  <c r="Z49" i="11"/>
  <c r="R49" i="11"/>
  <c r="U49" i="11"/>
  <c r="T35" i="11"/>
  <c r="W35" i="11" s="1"/>
  <c r="Y35" i="11" s="1"/>
  <c r="R30" i="11"/>
  <c r="R44" i="11"/>
  <c r="T55" i="11"/>
  <c r="W55" i="11" s="1"/>
  <c r="AC55" i="11" s="1"/>
  <c r="AD55" i="11" s="1"/>
  <c r="T44" i="11"/>
  <c r="W44" i="11" s="1"/>
  <c r="AC44" i="11" s="1"/>
  <c r="AD44" i="11" s="1"/>
  <c r="R33" i="11"/>
  <c r="U10" i="11"/>
  <c r="U50" i="11"/>
  <c r="Z10" i="11"/>
  <c r="T50" i="11"/>
  <c r="W50" i="11" s="1"/>
  <c r="Y50" i="11" s="1"/>
  <c r="R10" i="11"/>
  <c r="R50" i="11"/>
  <c r="Z44" i="11"/>
  <c r="R22" i="11"/>
  <c r="Z36" i="11"/>
  <c r="R36" i="11"/>
  <c r="T22" i="11"/>
  <c r="W22" i="11" s="1"/>
  <c r="X22" i="11" s="1"/>
  <c r="AA22" i="11" s="1"/>
  <c r="R12" i="11"/>
  <c r="P16" i="11"/>
  <c r="R16" i="11" s="1"/>
  <c r="AB30" i="11"/>
  <c r="U57" i="11"/>
  <c r="T36" i="11"/>
  <c r="W36" i="11" s="1"/>
  <c r="AC36" i="11" s="1"/>
  <c r="AD36" i="11" s="1"/>
  <c r="T57" i="11"/>
  <c r="W57" i="11" s="1"/>
  <c r="AC57" i="11" s="1"/>
  <c r="AD57" i="11" s="1"/>
  <c r="U22" i="11"/>
  <c r="X15" i="11"/>
  <c r="AA15" i="11" s="1"/>
  <c r="AB15" i="11" s="1"/>
  <c r="R37" i="11"/>
  <c r="R48" i="11"/>
  <c r="R7" i="11"/>
  <c r="P25" i="11"/>
  <c r="R25" i="11" s="1"/>
  <c r="AC30" i="11"/>
  <c r="AD30" i="11" s="1"/>
  <c r="R11" i="11"/>
  <c r="Z22" i="11"/>
  <c r="P42" i="11"/>
  <c r="R42" i="11" s="1"/>
  <c r="Y30" i="11"/>
  <c r="Z11" i="11"/>
  <c r="T11" i="11"/>
  <c r="W11" i="11" s="1"/>
  <c r="Y11" i="11" s="1"/>
  <c r="R57" i="11"/>
  <c r="Q26" i="11"/>
  <c r="T26" i="11" s="1"/>
  <c r="W26" i="11" s="1"/>
  <c r="R56" i="11"/>
  <c r="Z48" i="11"/>
  <c r="P29" i="11"/>
  <c r="R29" i="11" s="1"/>
  <c r="Q52" i="11"/>
  <c r="T52" i="11" s="1"/>
  <c r="W52" i="11" s="1"/>
  <c r="P32" i="11"/>
  <c r="R32" i="11" s="1"/>
  <c r="Z9" i="11"/>
  <c r="P39" i="11"/>
  <c r="R39" i="11" s="1"/>
  <c r="U9" i="11"/>
  <c r="U56" i="11"/>
  <c r="Z56" i="11"/>
  <c r="T56" i="11"/>
  <c r="W56" i="11" s="1"/>
  <c r="T9" i="11"/>
  <c r="W9" i="11" s="1"/>
  <c r="Y9" i="11" s="1"/>
  <c r="R17" i="11"/>
  <c r="AC15" i="11"/>
  <c r="AD15" i="11" s="1"/>
  <c r="Z37" i="11"/>
  <c r="R40" i="11"/>
  <c r="P45" i="11"/>
  <c r="R45" i="11" s="1"/>
  <c r="Z40" i="11"/>
  <c r="U48" i="11"/>
  <c r="U37" i="11"/>
  <c r="T12" i="11"/>
  <c r="W12" i="11" s="1"/>
  <c r="U12" i="11"/>
  <c r="Z12" i="11"/>
  <c r="U40" i="11"/>
  <c r="Z38" i="11"/>
  <c r="T38" i="11"/>
  <c r="W38" i="11" s="1"/>
  <c r="U38" i="11"/>
  <c r="T32" i="11"/>
  <c r="W32" i="11" s="1"/>
  <c r="U32" i="11"/>
  <c r="Z32" i="11"/>
  <c r="S53" i="11"/>
  <c r="Z21" i="11"/>
  <c r="U21" i="11"/>
  <c r="T21" i="11"/>
  <c r="W21" i="11" s="1"/>
  <c r="Q47" i="11"/>
  <c r="P47" i="11"/>
  <c r="P27" i="11"/>
  <c r="Q27" i="11"/>
  <c r="Z42" i="11"/>
  <c r="T42" i="11"/>
  <c r="W42" i="11" s="1"/>
  <c r="U42" i="11"/>
  <c r="U28" i="11"/>
  <c r="AC40" i="11"/>
  <c r="AD40" i="11" s="1"/>
  <c r="X40" i="11"/>
  <c r="AA40" i="11" s="1"/>
  <c r="Y40" i="11"/>
  <c r="Z29" i="11"/>
  <c r="T29" i="11"/>
  <c r="W29" i="11" s="1"/>
  <c r="U29" i="11"/>
  <c r="AC49" i="11"/>
  <c r="AD49" i="11" s="1"/>
  <c r="X49" i="11"/>
  <c r="AA49" i="11" s="1"/>
  <c r="Y49" i="11"/>
  <c r="T58" i="11"/>
  <c r="W58" i="11" s="1"/>
  <c r="U58" i="11"/>
  <c r="Z58" i="11"/>
  <c r="Q24" i="11"/>
  <c r="R24" i="11" s="1"/>
  <c r="AC48" i="11"/>
  <c r="AD48" i="11" s="1"/>
  <c r="Y48" i="11"/>
  <c r="X48" i="11"/>
  <c r="AA48" i="11" s="1"/>
  <c r="Z43" i="11"/>
  <c r="T43" i="11"/>
  <c r="W43" i="11" s="1"/>
  <c r="U43" i="11"/>
  <c r="U33" i="11"/>
  <c r="T33" i="11"/>
  <c r="W33" i="11" s="1"/>
  <c r="Z33" i="11"/>
  <c r="Y37" i="11"/>
  <c r="AC37" i="11"/>
  <c r="AD37" i="11" s="1"/>
  <c r="X37" i="11"/>
  <c r="AA37" i="11" s="1"/>
  <c r="P38" i="11"/>
  <c r="R38" i="11" s="1"/>
  <c r="U25" i="11"/>
  <c r="T25" i="11"/>
  <c r="W25" i="11" s="1"/>
  <c r="Z25" i="11"/>
  <c r="X23" i="11"/>
  <c r="AA23" i="11" s="1"/>
  <c r="AB23" i="11" s="1"/>
  <c r="Y23" i="11"/>
  <c r="AC23" i="11"/>
  <c r="AD23" i="11" s="1"/>
  <c r="Q31" i="11"/>
  <c r="X51" i="11"/>
  <c r="AA51" i="11" s="1"/>
  <c r="AB51" i="11" s="1"/>
  <c r="Y51" i="11"/>
  <c r="AC51" i="11"/>
  <c r="AD51" i="11" s="1"/>
  <c r="P34" i="11"/>
  <c r="Q34" i="11"/>
  <c r="X50" i="11"/>
  <c r="AA50" i="11" s="1"/>
  <c r="AB50" i="11" s="1"/>
  <c r="Z39" i="11"/>
  <c r="T39" i="11"/>
  <c r="W39" i="11" s="1"/>
  <c r="U39" i="11"/>
  <c r="R21" i="11"/>
  <c r="Q41" i="11"/>
  <c r="P41" i="11"/>
  <c r="O53" i="11"/>
  <c r="P53" i="11" s="1"/>
  <c r="V53" i="11"/>
  <c r="Q54" i="11"/>
  <c r="P54" i="11"/>
  <c r="Q46" i="11"/>
  <c r="P46" i="11"/>
  <c r="Z45" i="11"/>
  <c r="T45" i="11"/>
  <c r="W45" i="11" s="1"/>
  <c r="U45" i="11"/>
  <c r="P20" i="11"/>
  <c r="Q20" i="11"/>
  <c r="P43" i="11"/>
  <c r="R43" i="11" s="1"/>
  <c r="R58" i="11"/>
  <c r="T7" i="11"/>
  <c r="W7" i="11" s="1"/>
  <c r="U7" i="11"/>
  <c r="Z7" i="11"/>
  <c r="Q5" i="11"/>
  <c r="R5" i="11" s="1"/>
  <c r="S18" i="11"/>
  <c r="AC8" i="11"/>
  <c r="AD8" i="11" s="1"/>
  <c r="X8" i="11"/>
  <c r="AA8" i="11" s="1"/>
  <c r="AB8" i="11" s="1"/>
  <c r="Y8" i="11"/>
  <c r="V18" i="11"/>
  <c r="O18" i="11"/>
  <c r="P18" i="11" s="1"/>
  <c r="Q14" i="11"/>
  <c r="P14" i="11"/>
  <c r="S19" i="11"/>
  <c r="Z16" i="11"/>
  <c r="T16" i="11"/>
  <c r="W16" i="11" s="1"/>
  <c r="U16" i="11"/>
  <c r="U17" i="11"/>
  <c r="T17" i="11"/>
  <c r="W17" i="11" s="1"/>
  <c r="Z17" i="11"/>
  <c r="AC10" i="11"/>
  <c r="AD10" i="11" s="1"/>
  <c r="X10" i="11"/>
  <c r="AA10" i="11" s="1"/>
  <c r="Y10" i="11"/>
  <c r="O13" i="11"/>
  <c r="P13" i="11" s="1"/>
  <c r="V13" i="11"/>
  <c r="S13" i="11"/>
  <c r="O19" i="11"/>
  <c r="Q19" i="11" s="1"/>
  <c r="V19" i="11"/>
  <c r="AC6" i="11"/>
  <c r="AD6" i="11" s="1"/>
  <c r="Y6" i="11"/>
  <c r="X6" i="11"/>
  <c r="AA6" i="11" s="1"/>
  <c r="AB6" i="11" s="1"/>
  <c r="E21" i="11"/>
  <c r="E26" i="11" s="1"/>
  <c r="E50" i="11" s="1"/>
  <c r="E66" i="11"/>
  <c r="E65" i="11"/>
  <c r="E53" i="11"/>
  <c r="E55" i="11"/>
  <c r="E23" i="11"/>
  <c r="AA26" i="10"/>
  <c r="AA25" i="10" s="1"/>
  <c r="AA45" i="10" s="1"/>
  <c r="AA46" i="10" s="1"/>
  <c r="AA47" i="10" s="1"/>
  <c r="AA48" i="10" s="1"/>
  <c r="AH53" i="10"/>
  <c r="AH66" i="10"/>
  <c r="AH55" i="10"/>
  <c r="AH65" i="10"/>
  <c r="AH23" i="10"/>
  <c r="AH21" i="10"/>
  <c r="AI53" i="10"/>
  <c r="AI66" i="10"/>
  <c r="AI55" i="10"/>
  <c r="AI65" i="10"/>
  <c r="AI21" i="10"/>
  <c r="AI23" i="10"/>
  <c r="I65" i="10"/>
  <c r="AG68" i="10"/>
  <c r="AG81" i="10" s="1"/>
  <c r="AG26" i="10"/>
  <c r="AG20" i="10"/>
  <c r="S22" i="10"/>
  <c r="O55" i="10"/>
  <c r="AJ53" i="10"/>
  <c r="AJ55" i="10"/>
  <c r="AJ65" i="10"/>
  <c r="AJ66" i="10"/>
  <c r="AJ21" i="10"/>
  <c r="AJ23" i="10"/>
  <c r="AG50" i="10"/>
  <c r="AG53" i="10"/>
  <c r="AG66" i="10"/>
  <c r="AG55" i="10"/>
  <c r="AG65" i="10"/>
  <c r="AG23" i="10"/>
  <c r="AF53" i="10"/>
  <c r="AF55" i="10"/>
  <c r="AF66" i="10"/>
  <c r="AF65" i="10"/>
  <c r="AF21" i="10"/>
  <c r="AF23" i="10"/>
  <c r="T28" i="10"/>
  <c r="T27" i="10" s="1"/>
  <c r="AC68" i="10"/>
  <c r="AC81" i="10" s="1"/>
  <c r="AC20" i="10"/>
  <c r="AC26" i="10"/>
  <c r="AC50" i="10" s="1"/>
  <c r="T53" i="10"/>
  <c r="AE66" i="10"/>
  <c r="AE53" i="10"/>
  <c r="AE55" i="10"/>
  <c r="AE65" i="10"/>
  <c r="AE23" i="10"/>
  <c r="AE21" i="10"/>
  <c r="Z23" i="10"/>
  <c r="Z22" i="10" s="1"/>
  <c r="M53" i="10"/>
  <c r="L65" i="10"/>
  <c r="AC65" i="10"/>
  <c r="AC55" i="10"/>
  <c r="AC53" i="10"/>
  <c r="AC66" i="10"/>
  <c r="AC23" i="10"/>
  <c r="M55" i="10"/>
  <c r="M66" i="10"/>
  <c r="AA22" i="10"/>
  <c r="AD55" i="10"/>
  <c r="AD66" i="10"/>
  <c r="AD53" i="10"/>
  <c r="AD65" i="10"/>
  <c r="AD23" i="10"/>
  <c r="AD21" i="10"/>
  <c r="T55" i="10"/>
  <c r="N28" i="10"/>
  <c r="N55" i="10"/>
  <c r="N66" i="10"/>
  <c r="S65" i="10"/>
  <c r="R55" i="10"/>
  <c r="W55" i="10"/>
  <c r="W22" i="10"/>
  <c r="L28" i="10"/>
  <c r="L58" i="10" s="1"/>
  <c r="L53" i="10"/>
  <c r="P66" i="10"/>
  <c r="S55" i="10"/>
  <c r="N53" i="10"/>
  <c r="S53" i="10"/>
  <c r="U55" i="10"/>
  <c r="K55" i="10"/>
  <c r="S66" i="10"/>
  <c r="R28" i="10"/>
  <c r="R58" i="10" s="1"/>
  <c r="J28" i="10"/>
  <c r="J51" i="10" s="1"/>
  <c r="J63" i="10" s="1"/>
  <c r="J78" i="10" s="1"/>
  <c r="J79" i="10" s="1"/>
  <c r="U65" i="10"/>
  <c r="K66" i="10"/>
  <c r="U53" i="10"/>
  <c r="R66" i="10"/>
  <c r="L55" i="10"/>
  <c r="K21" i="10"/>
  <c r="S21" i="10"/>
  <c r="S68" i="10" s="1"/>
  <c r="S81" i="10" s="1"/>
  <c r="L66" i="10"/>
  <c r="U28" i="10"/>
  <c r="U27" i="10" s="1"/>
  <c r="U21" i="10"/>
  <c r="U68" i="10" s="1"/>
  <c r="U81" i="10" s="1"/>
  <c r="G53" i="10"/>
  <c r="P21" i="10"/>
  <c r="P26" i="10" s="1"/>
  <c r="P28" i="10"/>
  <c r="P27" i="10" s="1"/>
  <c r="G55" i="10"/>
  <c r="P53" i="10"/>
  <c r="P55" i="10"/>
  <c r="U66" i="10"/>
  <c r="R65" i="10"/>
  <c r="L21" i="10"/>
  <c r="X65" i="10"/>
  <c r="X66" i="10"/>
  <c r="AA58" i="10"/>
  <c r="AA76" i="10" s="1"/>
  <c r="AA77" i="10" s="1"/>
  <c r="AA27" i="10"/>
  <c r="AA51" i="10"/>
  <c r="AA63" i="10" s="1"/>
  <c r="AA78" i="10" s="1"/>
  <c r="AA79" i="10" s="1"/>
  <c r="X55" i="10"/>
  <c r="G21" i="10"/>
  <c r="G23" i="10"/>
  <c r="X21" i="10"/>
  <c r="X68" i="10" s="1"/>
  <c r="O53" i="10"/>
  <c r="Q55" i="10"/>
  <c r="Q21" i="10"/>
  <c r="X53" i="10"/>
  <c r="X58" i="10"/>
  <c r="M21" i="10"/>
  <c r="M26" i="10" s="1"/>
  <c r="O28" i="10"/>
  <c r="O27" i="10" s="1"/>
  <c r="N65" i="10"/>
  <c r="M65" i="10"/>
  <c r="T65" i="10"/>
  <c r="X51" i="10"/>
  <c r="X63" i="10" s="1"/>
  <c r="X78" i="10" s="1"/>
  <c r="X79" i="10" s="1"/>
  <c r="G66" i="10"/>
  <c r="K28" i="10"/>
  <c r="K27" i="10" s="1"/>
  <c r="N21" i="10"/>
  <c r="N68" i="10" s="1"/>
  <c r="O66" i="10"/>
  <c r="Q65" i="10"/>
  <c r="W65" i="10"/>
  <c r="R53" i="10"/>
  <c r="AB53" i="10"/>
  <c r="AB65" i="10"/>
  <c r="AB66" i="10"/>
  <c r="AB55" i="10"/>
  <c r="AB21" i="10"/>
  <c r="AB23" i="10"/>
  <c r="Z20" i="10"/>
  <c r="Z68" i="10"/>
  <c r="Z81" i="10" s="1"/>
  <c r="Z26" i="10"/>
  <c r="W53" i="10"/>
  <c r="K53" i="10"/>
  <c r="T21" i="10"/>
  <c r="T68" i="10" s="1"/>
  <c r="T81" i="10" s="1"/>
  <c r="Q23" i="10"/>
  <c r="Q22" i="10" s="1"/>
  <c r="W66" i="10"/>
  <c r="Y66" i="10"/>
  <c r="Y55" i="10"/>
  <c r="Y65" i="10"/>
  <c r="Y53" i="10"/>
  <c r="Y21" i="10"/>
  <c r="Y23" i="10"/>
  <c r="F21" i="10"/>
  <c r="F23" i="10"/>
  <c r="W21" i="10"/>
  <c r="W26" i="10" s="1"/>
  <c r="X22" i="10"/>
  <c r="K65" i="10"/>
  <c r="P65" i="10"/>
  <c r="O21" i="10"/>
  <c r="O68" i="10" s="1"/>
  <c r="M28" i="10"/>
  <c r="M58" i="10" s="1"/>
  <c r="R21" i="10"/>
  <c r="T66" i="10"/>
  <c r="Q66" i="10"/>
  <c r="AB57" i="9"/>
  <c r="Y57" i="9"/>
  <c r="G21" i="9"/>
  <c r="G26" i="9" s="1"/>
  <c r="G77" i="9" s="1"/>
  <c r="V65" i="9"/>
  <c r="V66" i="9"/>
  <c r="O21" i="9"/>
  <c r="O26" i="9" s="1"/>
  <c r="O77" i="9" s="1"/>
  <c r="P65" i="9"/>
  <c r="V53" i="9"/>
  <c r="J55" i="9"/>
  <c r="G22" i="9"/>
  <c r="S55" i="9"/>
  <c r="M53" i="9"/>
  <c r="O66" i="9"/>
  <c r="AD65" i="9"/>
  <c r="S66" i="9"/>
  <c r="J22" i="9"/>
  <c r="S65" i="9"/>
  <c r="R28" i="9"/>
  <c r="R58" i="9" s="1"/>
  <c r="F28" i="9"/>
  <c r="F58" i="9" s="1"/>
  <c r="J66" i="9"/>
  <c r="O28" i="9"/>
  <c r="O58" i="9" s="1"/>
  <c r="V21" i="9"/>
  <c r="V23" i="9"/>
  <c r="H55" i="9"/>
  <c r="J65" i="9"/>
  <c r="T55" i="9"/>
  <c r="U21" i="9"/>
  <c r="U26" i="9" s="1"/>
  <c r="U77" i="9" s="1"/>
  <c r="H22" i="9"/>
  <c r="N28" i="9"/>
  <c r="N58" i="9" s="1"/>
  <c r="Q53" i="9"/>
  <c r="U53" i="9"/>
  <c r="P66" i="9"/>
  <c r="K65" i="9"/>
  <c r="E65" i="9"/>
  <c r="W66" i="9"/>
  <c r="Q55" i="9"/>
  <c r="G66" i="9"/>
  <c r="M66" i="9"/>
  <c r="U55" i="9"/>
  <c r="X28" i="9"/>
  <c r="X58" i="9" s="1"/>
  <c r="K21" i="9"/>
  <c r="K26" i="9" s="1"/>
  <c r="K77" i="9" s="1"/>
  <c r="K53" i="9"/>
  <c r="O65" i="9"/>
  <c r="L22" i="9"/>
  <c r="M28" i="9"/>
  <c r="M58" i="9" s="1"/>
  <c r="W55" i="9"/>
  <c r="T65" i="9"/>
  <c r="N55" i="9"/>
  <c r="M65" i="9"/>
  <c r="J21" i="9"/>
  <c r="J68" i="9" s="1"/>
  <c r="O55" i="9"/>
  <c r="K66" i="9"/>
  <c r="O53" i="9"/>
  <c r="J53" i="9"/>
  <c r="I22" i="9"/>
  <c r="Q66" i="9"/>
  <c r="H21" i="9"/>
  <c r="H26" i="9" s="1"/>
  <c r="H77" i="9" s="1"/>
  <c r="G65" i="9"/>
  <c r="U65" i="9"/>
  <c r="X55" i="9"/>
  <c r="N53" i="9"/>
  <c r="U22" i="9"/>
  <c r="R55" i="9"/>
  <c r="F66" i="9"/>
  <c r="L21" i="9"/>
  <c r="L26" i="9" s="1"/>
  <c r="L77" i="9" s="1"/>
  <c r="H66" i="9"/>
  <c r="H65" i="9"/>
  <c r="Q28" i="9"/>
  <c r="Q51" i="9" s="1"/>
  <c r="Q63" i="9" s="1"/>
  <c r="Q88" i="9" s="1"/>
  <c r="Q89" i="9" s="1"/>
  <c r="R66" i="9"/>
  <c r="K28" i="9"/>
  <c r="K27" i="9" s="1"/>
  <c r="R65" i="9"/>
  <c r="I21" i="9"/>
  <c r="I26" i="9" s="1"/>
  <c r="I77" i="9" s="1"/>
  <c r="N66" i="9"/>
  <c r="F21" i="9"/>
  <c r="F20" i="9" s="1"/>
  <c r="K55" i="9"/>
  <c r="R53" i="9"/>
  <c r="X53" i="9"/>
  <c r="AB86" i="9"/>
  <c r="AB87" i="9" s="1"/>
  <c r="T21" i="9"/>
  <c r="T23" i="9"/>
  <c r="Q65" i="9"/>
  <c r="W21" i="9"/>
  <c r="W23" i="9"/>
  <c r="L53" i="9"/>
  <c r="G55" i="9"/>
  <c r="L66" i="9"/>
  <c r="G53" i="9"/>
  <c r="I65" i="9"/>
  <c r="N21" i="9"/>
  <c r="N68" i="9" s="1"/>
  <c r="R21" i="9"/>
  <c r="R26" i="9" s="1"/>
  <c r="R77" i="9" s="1"/>
  <c r="S21" i="9"/>
  <c r="S23" i="9"/>
  <c r="P23" i="9"/>
  <c r="P21" i="9"/>
  <c r="H53" i="9"/>
  <c r="I53" i="9"/>
  <c r="P55" i="9"/>
  <c r="F53" i="9"/>
  <c r="F65" i="9"/>
  <c r="Q21" i="9"/>
  <c r="Q26" i="9" s="1"/>
  <c r="Q77" i="9" s="1"/>
  <c r="T53" i="9"/>
  <c r="U66" i="9"/>
  <c r="E21" i="9"/>
  <c r="E23" i="9"/>
  <c r="I55" i="9"/>
  <c r="I66" i="9"/>
  <c r="F55" i="9"/>
  <c r="M21" i="9"/>
  <c r="M26" i="9" s="1"/>
  <c r="M77" i="9" s="1"/>
  <c r="M55" i="9"/>
  <c r="W53" i="9"/>
  <c r="X66" i="9"/>
  <c r="X21" i="9"/>
  <c r="L55" i="9"/>
  <c r="AB20" i="9"/>
  <c r="AB27" i="9"/>
  <c r="AB51" i="9"/>
  <c r="AB63" i="9" s="1"/>
  <c r="AB88" i="9" s="1"/>
  <c r="AB89" i="9" s="1"/>
  <c r="S27" i="10"/>
  <c r="S58" i="10"/>
  <c r="S51" i="10"/>
  <c r="S63" i="10" s="1"/>
  <c r="S78" i="10" s="1"/>
  <c r="S79" i="10" s="1"/>
  <c r="P68" i="10"/>
  <c r="P20" i="10"/>
  <c r="N58" i="10"/>
  <c r="N76" i="10" s="1"/>
  <c r="N77" i="10" s="1"/>
  <c r="N51" i="10"/>
  <c r="N63" i="10" s="1"/>
  <c r="N78" i="10" s="1"/>
  <c r="N79" i="10" s="1"/>
  <c r="N27" i="10"/>
  <c r="I26" i="10"/>
  <c r="I50" i="10" s="1"/>
  <c r="I20" i="10"/>
  <c r="F66" i="10"/>
  <c r="F65" i="10"/>
  <c r="L27" i="10"/>
  <c r="J57" i="10"/>
  <c r="J50" i="10"/>
  <c r="J25" i="10"/>
  <c r="I58" i="10"/>
  <c r="I76" i="10" s="1"/>
  <c r="I77" i="10" s="1"/>
  <c r="I51" i="10"/>
  <c r="I63" i="10" s="1"/>
  <c r="I78" i="10" s="1"/>
  <c r="I79" i="10" s="1"/>
  <c r="I27" i="10"/>
  <c r="H26" i="10"/>
  <c r="H68" i="10"/>
  <c r="H81" i="10" s="1"/>
  <c r="H20" i="10"/>
  <c r="E26" i="10"/>
  <c r="E20" i="10"/>
  <c r="E68" i="10"/>
  <c r="E81" i="10" s="1"/>
  <c r="E27" i="10"/>
  <c r="E51" i="10"/>
  <c r="E63" i="10" s="1"/>
  <c r="E78" i="10" s="1"/>
  <c r="E79" i="10" s="1"/>
  <c r="E58" i="10"/>
  <c r="E76" i="10" s="1"/>
  <c r="E77" i="10" s="1"/>
  <c r="H58" i="10"/>
  <c r="H76" i="10" s="1"/>
  <c r="H77" i="10" s="1"/>
  <c r="H51" i="10"/>
  <c r="H63" i="10" s="1"/>
  <c r="H78" i="10" s="1"/>
  <c r="H79" i="10" s="1"/>
  <c r="H27" i="10"/>
  <c r="V51" i="10"/>
  <c r="V63" i="10" s="1"/>
  <c r="V78" i="10" s="1"/>
  <c r="V79" i="10" s="1"/>
  <c r="V27" i="10"/>
  <c r="V58" i="10"/>
  <c r="V76" i="10" s="1"/>
  <c r="V77" i="10" s="1"/>
  <c r="V20" i="10"/>
  <c r="V68" i="10"/>
  <c r="V81" i="10" s="1"/>
  <c r="V26" i="10"/>
  <c r="W51" i="10"/>
  <c r="W63" i="10" s="1"/>
  <c r="W78" i="10" s="1"/>
  <c r="W79" i="10" s="1"/>
  <c r="W58" i="10"/>
  <c r="W27" i="10"/>
  <c r="AI26" i="9"/>
  <c r="AI77" i="9" s="1"/>
  <c r="AI20" i="9"/>
  <c r="AC20" i="9"/>
  <c r="X65" i="9"/>
  <c r="AF51" i="9"/>
  <c r="AF63" i="9" s="1"/>
  <c r="AF88" i="9" s="1"/>
  <c r="AF89" i="9" s="1"/>
  <c r="AF58" i="9"/>
  <c r="AF27" i="9"/>
  <c r="AG26" i="9"/>
  <c r="AG77" i="9" s="1"/>
  <c r="AG20" i="9"/>
  <c r="AF26" i="9"/>
  <c r="AF77" i="9" s="1"/>
  <c r="AF20" i="9"/>
  <c r="Y51" i="9"/>
  <c r="Y63" i="9" s="1"/>
  <c r="Y88" i="9" s="1"/>
  <c r="Y89" i="9" s="1"/>
  <c r="Y27" i="9"/>
  <c r="Z26" i="9"/>
  <c r="Z77" i="9" s="1"/>
  <c r="AG58" i="9"/>
  <c r="AG51" i="9"/>
  <c r="AG63" i="9" s="1"/>
  <c r="AG88" i="9" s="1"/>
  <c r="AG89" i="9" s="1"/>
  <c r="AG27" i="9"/>
  <c r="Y86" i="9"/>
  <c r="Y87" i="9" s="1"/>
  <c r="L65" i="9"/>
  <c r="AB25" i="9"/>
  <c r="AB45" i="9" s="1"/>
  <c r="AB46" i="9" s="1"/>
  <c r="AB47" i="9" s="1"/>
  <c r="AB48" i="9" s="1"/>
  <c r="AB50" i="9"/>
  <c r="AB68" i="9"/>
  <c r="AA20" i="9"/>
  <c r="U51" i="9"/>
  <c r="U63" i="9" s="1"/>
  <c r="U88" i="9" s="1"/>
  <c r="U89" i="9" s="1"/>
  <c r="U27" i="9"/>
  <c r="U58" i="9"/>
  <c r="Y50" i="9"/>
  <c r="Y25" i="9"/>
  <c r="Y45" i="9" s="1"/>
  <c r="Y46" i="9" s="1"/>
  <c r="Y47" i="9" s="1"/>
  <c r="Y48" i="9" s="1"/>
  <c r="Y68" i="9"/>
  <c r="Z58" i="9"/>
  <c r="Z86" i="9" s="1"/>
  <c r="Z87" i="9" s="1"/>
  <c r="Z51" i="9"/>
  <c r="Z63" i="9" s="1"/>
  <c r="Z88" i="9" s="1"/>
  <c r="Z89" i="9" s="1"/>
  <c r="Z27" i="9"/>
  <c r="H58" i="9"/>
  <c r="H51" i="9"/>
  <c r="H63" i="9" s="1"/>
  <c r="H88" i="9" s="1"/>
  <c r="H89" i="9" s="1"/>
  <c r="H27" i="9"/>
  <c r="E66" i="9"/>
  <c r="N65" i="9"/>
  <c r="L58" i="9"/>
  <c r="L51" i="9"/>
  <c r="L63" i="9" s="1"/>
  <c r="L88" i="9" s="1"/>
  <c r="L89" i="9" s="1"/>
  <c r="L27" i="9"/>
  <c r="G58" i="9"/>
  <c r="G51" i="9"/>
  <c r="G63" i="9" s="1"/>
  <c r="G88" i="9" s="1"/>
  <c r="G89" i="9" s="1"/>
  <c r="G27" i="9"/>
  <c r="J58" i="9"/>
  <c r="J27" i="9"/>
  <c r="J51" i="9"/>
  <c r="J63" i="9" s="1"/>
  <c r="J88" i="9" s="1"/>
  <c r="J89" i="9" s="1"/>
  <c r="I58" i="9"/>
  <c r="I51" i="9"/>
  <c r="I63" i="9" s="1"/>
  <c r="I88" i="9" s="1"/>
  <c r="I89" i="9" s="1"/>
  <c r="I27" i="9"/>
  <c r="H57" i="5"/>
  <c r="H58" i="5"/>
  <c r="F57" i="5"/>
  <c r="F58" i="5"/>
  <c r="E57" i="5"/>
  <c r="E58" i="5"/>
  <c r="G57" i="5"/>
  <c r="G58" i="5"/>
  <c r="E72" i="5"/>
  <c r="E75" i="5" s="1"/>
  <c r="E76" i="5" s="1"/>
  <c r="H72" i="5"/>
  <c r="H75" i="5" s="1"/>
  <c r="H76" i="5" s="1"/>
  <c r="E42" i="5"/>
  <c r="E53" i="5" s="1"/>
  <c r="G20" i="5"/>
  <c r="G60" i="5"/>
  <c r="G73" i="5" s="1"/>
  <c r="F20" i="5"/>
  <c r="F60" i="5"/>
  <c r="F73" i="5" s="1"/>
  <c r="H50" i="5"/>
  <c r="H68" i="5" s="1"/>
  <c r="H69" i="5" s="1"/>
  <c r="F50" i="5"/>
  <c r="F68" i="5" s="1"/>
  <c r="F69" i="5" s="1"/>
  <c r="E62" i="5"/>
  <c r="E63" i="5" s="1"/>
  <c r="G50" i="5"/>
  <c r="G68" i="5" s="1"/>
  <c r="E50" i="5"/>
  <c r="E68" i="5" s="1"/>
  <c r="E69" i="5" s="1"/>
  <c r="E43" i="5"/>
  <c r="F53" i="5"/>
  <c r="F64" i="5" s="1"/>
  <c r="F65" i="5" s="1"/>
  <c r="H22" i="5"/>
  <c r="H43" i="5"/>
  <c r="E22" i="5"/>
  <c r="F22" i="5"/>
  <c r="F43" i="5"/>
  <c r="H20" i="5"/>
  <c r="H62" i="5"/>
  <c r="H42" i="5"/>
  <c r="G22" i="5"/>
  <c r="G43" i="5"/>
  <c r="G42" i="5"/>
  <c r="F62" i="5"/>
  <c r="F63" i="5" s="1"/>
  <c r="G45" i="5"/>
  <c r="M91" i="2" a="1"/>
  <c r="M91" i="2" s="1"/>
  <c r="K96" i="2" a="1"/>
  <c r="K96" i="2" s="1"/>
  <c r="N96" i="2" s="1" a="1"/>
  <c r="N96" i="2" s="1"/>
  <c r="F96" i="2" a="1"/>
  <c r="F96" i="2" s="1"/>
  <c r="M24" i="2" a="1"/>
  <c r="M24" i="2" s="1"/>
  <c r="H24" i="2" a="1"/>
  <c r="H24" i="2" s="1"/>
  <c r="F29" i="2" a="1"/>
  <c r="F29" i="2" s="1"/>
  <c r="H29" i="2" a="1"/>
  <c r="H29" i="2" s="1"/>
  <c r="L24" i="2" a="1"/>
  <c r="L24" i="2" s="1"/>
  <c r="K29" i="2" a="1"/>
  <c r="K29" i="2" s="1"/>
  <c r="S5" i="2"/>
  <c r="AA50" i="10" l="1"/>
  <c r="AA57" i="10"/>
  <c r="Z28" i="10"/>
  <c r="AH20" i="9"/>
  <c r="AE27" i="9"/>
  <c r="AF86" i="9"/>
  <c r="AF87" i="9" s="1"/>
  <c r="AI51" i="9"/>
  <c r="AI63" i="9" s="1"/>
  <c r="AI88" i="9" s="1"/>
  <c r="AI89" i="9" s="1"/>
  <c r="Y74" i="9"/>
  <c r="Y75" i="9" s="1"/>
  <c r="AI27" i="9"/>
  <c r="AE58" i="9"/>
  <c r="AE86" i="9" s="1"/>
  <c r="AE87" i="9" s="1"/>
  <c r="AC50" i="9"/>
  <c r="AH68" i="9"/>
  <c r="AH91" i="9" s="1"/>
  <c r="AC25" i="9"/>
  <c r="AC45" i="9" s="1"/>
  <c r="AC46" i="9" s="1"/>
  <c r="AC47" i="9" s="1"/>
  <c r="AC48" i="9" s="1"/>
  <c r="AC74" i="9" s="1"/>
  <c r="AH57" i="9"/>
  <c r="AH50" i="9"/>
  <c r="AC68" i="9"/>
  <c r="AC91" i="9" s="1"/>
  <c r="J20" i="9"/>
  <c r="AG86" i="9"/>
  <c r="AG87" i="9" s="1"/>
  <c r="AH25" i="9"/>
  <c r="AH45" i="9" s="1"/>
  <c r="AH46" i="9" s="1"/>
  <c r="AH47" i="9" s="1"/>
  <c r="AH48" i="9" s="1"/>
  <c r="AH52" i="9" s="1"/>
  <c r="AB74" i="9"/>
  <c r="AB52" i="9"/>
  <c r="AB70" i="9" s="1"/>
  <c r="AB71" i="9" s="1"/>
  <c r="AB64" i="9"/>
  <c r="AB90" i="9" s="1"/>
  <c r="AB60" i="9"/>
  <c r="AD20" i="9"/>
  <c r="AD26" i="9"/>
  <c r="Y78" i="9"/>
  <c r="Y79" i="9" s="1"/>
  <c r="AC22" i="9"/>
  <c r="AC28" i="9"/>
  <c r="AC57" i="9"/>
  <c r="AA58" i="9"/>
  <c r="AA86" i="9" s="1"/>
  <c r="AA87" i="9" s="1"/>
  <c r="AE20" i="9"/>
  <c r="AD22" i="9"/>
  <c r="AD28" i="9"/>
  <c r="AA27" i="9"/>
  <c r="AH22" i="9"/>
  <c r="AH28" i="9"/>
  <c r="X51" i="9"/>
  <c r="X63" i="9" s="1"/>
  <c r="X88" i="9" s="1"/>
  <c r="X89" i="9" s="1"/>
  <c r="AB49" i="11"/>
  <c r="T28" i="11"/>
  <c r="W28" i="11" s="1"/>
  <c r="R59" i="11"/>
  <c r="AB62" i="11"/>
  <c r="Z28" i="11"/>
  <c r="U59" i="11"/>
  <c r="T59" i="11"/>
  <c r="W59" i="11" s="1"/>
  <c r="Y59" i="11" s="1"/>
  <c r="Q63" i="11"/>
  <c r="Z63" i="11" s="1"/>
  <c r="AC50" i="11"/>
  <c r="AD50" i="11" s="1"/>
  <c r="Y55" i="11"/>
  <c r="X55" i="11"/>
  <c r="AA55" i="11" s="1"/>
  <c r="AB55" i="11" s="1"/>
  <c r="X57" i="11"/>
  <c r="AA57" i="11" s="1"/>
  <c r="AB57" i="11" s="1"/>
  <c r="Y57" i="11"/>
  <c r="AC59" i="11"/>
  <c r="AD59" i="11" s="1"/>
  <c r="X35" i="11"/>
  <c r="AA35" i="11" s="1"/>
  <c r="AB35" i="11" s="1"/>
  <c r="AC35" i="11"/>
  <c r="AD35" i="11" s="1"/>
  <c r="X44" i="11"/>
  <c r="AA44" i="11" s="1"/>
  <c r="AB44" i="11" s="1"/>
  <c r="Y22" i="11"/>
  <c r="Y44" i="11"/>
  <c r="AB10" i="11"/>
  <c r="AC22" i="11"/>
  <c r="AD22" i="11" s="1"/>
  <c r="R52" i="11"/>
  <c r="AB48" i="11"/>
  <c r="R41" i="11"/>
  <c r="X11" i="11"/>
  <c r="AA11" i="11" s="1"/>
  <c r="AB11" i="11" s="1"/>
  <c r="X36" i="11"/>
  <c r="AA36" i="11" s="1"/>
  <c r="AB36" i="11" s="1"/>
  <c r="Y36" i="11"/>
  <c r="AC11" i="11"/>
  <c r="AD11" i="11" s="1"/>
  <c r="AC9" i="11"/>
  <c r="AD9" i="11" s="1"/>
  <c r="Z52" i="11"/>
  <c r="R47" i="11"/>
  <c r="R26" i="11"/>
  <c r="U52" i="11"/>
  <c r="R46" i="11"/>
  <c r="U26" i="11"/>
  <c r="Z26" i="11"/>
  <c r="AB22" i="11"/>
  <c r="Q13" i="11"/>
  <c r="T13" i="11" s="1"/>
  <c r="W13" i="11" s="1"/>
  <c r="R14" i="11"/>
  <c r="E20" i="11"/>
  <c r="E68" i="11"/>
  <c r="E81" i="11" s="1"/>
  <c r="T5" i="11"/>
  <c r="W5" i="11" s="1"/>
  <c r="Y5" i="11" s="1"/>
  <c r="U5" i="11"/>
  <c r="Z5" i="11"/>
  <c r="R34" i="11"/>
  <c r="X56" i="11"/>
  <c r="AA56" i="11" s="1"/>
  <c r="AB56" i="11" s="1"/>
  <c r="Y56" i="11"/>
  <c r="AC56" i="11"/>
  <c r="AD56" i="11" s="1"/>
  <c r="X9" i="11"/>
  <c r="AA9" i="11" s="1"/>
  <c r="AB9" i="11" s="1"/>
  <c r="Q53" i="11"/>
  <c r="Z53" i="11" s="1"/>
  <c r="AB40" i="11"/>
  <c r="AB37" i="11"/>
  <c r="X12" i="11"/>
  <c r="AA12" i="11" s="1"/>
  <c r="AB12" i="11" s="1"/>
  <c r="Y12" i="11"/>
  <c r="AC12" i="11"/>
  <c r="AD12" i="11" s="1"/>
  <c r="T54" i="11"/>
  <c r="W54" i="11" s="1"/>
  <c r="U54" i="11"/>
  <c r="Z54" i="11"/>
  <c r="U20" i="11"/>
  <c r="Z20" i="11"/>
  <c r="T20" i="11"/>
  <c r="W20" i="11" s="1"/>
  <c r="AC39" i="11"/>
  <c r="AD39" i="11" s="1"/>
  <c r="Y39" i="11"/>
  <c r="X39" i="11"/>
  <c r="AA39" i="11" s="1"/>
  <c r="AB39" i="11" s="1"/>
  <c r="Z24" i="11"/>
  <c r="T24" i="11"/>
  <c r="W24" i="11" s="1"/>
  <c r="U24" i="11"/>
  <c r="R20" i="11"/>
  <c r="T27" i="11"/>
  <c r="W27" i="11" s="1"/>
  <c r="U27" i="11"/>
  <c r="Z27" i="11"/>
  <c r="R27" i="11"/>
  <c r="AC25" i="11"/>
  <c r="AD25" i="11" s="1"/>
  <c r="Y25" i="11"/>
  <c r="X25" i="11"/>
  <c r="AA25" i="11" s="1"/>
  <c r="AB25" i="11" s="1"/>
  <c r="U47" i="11"/>
  <c r="T47" i="11"/>
  <c r="W47" i="11" s="1"/>
  <c r="Z47" i="11"/>
  <c r="AC32" i="11"/>
  <c r="AD32" i="11" s="1"/>
  <c r="X32" i="11"/>
  <c r="AA32" i="11" s="1"/>
  <c r="AB32" i="11" s="1"/>
  <c r="Y32" i="11"/>
  <c r="AC52" i="11"/>
  <c r="AD52" i="11" s="1"/>
  <c r="X52" i="11"/>
  <c r="AA52" i="11" s="1"/>
  <c r="Y52" i="11"/>
  <c r="AC45" i="11"/>
  <c r="AD45" i="11" s="1"/>
  <c r="Y45" i="11"/>
  <c r="X45" i="11"/>
  <c r="AA45" i="11" s="1"/>
  <c r="AB45" i="11" s="1"/>
  <c r="Y21" i="11"/>
  <c r="X21" i="11"/>
  <c r="AA21" i="11" s="1"/>
  <c r="AB21" i="11" s="1"/>
  <c r="AC21" i="11"/>
  <c r="AD21" i="11" s="1"/>
  <c r="AC43" i="11"/>
  <c r="AD43" i="11" s="1"/>
  <c r="Y43" i="11"/>
  <c r="X43" i="11"/>
  <c r="AA43" i="11" s="1"/>
  <c r="AB43" i="11" s="1"/>
  <c r="AC28" i="11"/>
  <c r="AD28" i="11" s="1"/>
  <c r="X28" i="11"/>
  <c r="AA28" i="11" s="1"/>
  <c r="AB28" i="11" s="1"/>
  <c r="Y28" i="11"/>
  <c r="AC29" i="11"/>
  <c r="AD29" i="11" s="1"/>
  <c r="X29" i="11"/>
  <c r="AA29" i="11" s="1"/>
  <c r="AB29" i="11" s="1"/>
  <c r="Y29" i="11"/>
  <c r="AC26" i="11"/>
  <c r="AD26" i="11" s="1"/>
  <c r="Y26" i="11"/>
  <c r="X26" i="11"/>
  <c r="AA26" i="11" s="1"/>
  <c r="Y58" i="11"/>
  <c r="AC58" i="11"/>
  <c r="AD58" i="11" s="1"/>
  <c r="X58" i="11"/>
  <c r="AA58" i="11" s="1"/>
  <c r="AB58" i="11" s="1"/>
  <c r="AC38" i="11"/>
  <c r="AD38" i="11" s="1"/>
  <c r="Y38" i="11"/>
  <c r="X38" i="11"/>
  <c r="AA38" i="11" s="1"/>
  <c r="AB38" i="11" s="1"/>
  <c r="T46" i="11"/>
  <c r="W46" i="11" s="1"/>
  <c r="U46" i="11"/>
  <c r="Z46" i="11"/>
  <c r="T41" i="11"/>
  <c r="W41" i="11" s="1"/>
  <c r="U41" i="11"/>
  <c r="Z41" i="11"/>
  <c r="Z31" i="11"/>
  <c r="T31" i="11"/>
  <c r="W31" i="11" s="1"/>
  <c r="U31" i="11"/>
  <c r="AC33" i="11"/>
  <c r="AD33" i="11" s="1"/>
  <c r="X33" i="11"/>
  <c r="AA33" i="11" s="1"/>
  <c r="AB33" i="11" s="1"/>
  <c r="Y33" i="11"/>
  <c r="R54" i="11"/>
  <c r="Z34" i="11"/>
  <c r="T34" i="11"/>
  <c r="W34" i="11" s="1"/>
  <c r="U34" i="11"/>
  <c r="AC42" i="11"/>
  <c r="AD42" i="11" s="1"/>
  <c r="X42" i="11"/>
  <c r="AA42" i="11" s="1"/>
  <c r="AB42" i="11" s="1"/>
  <c r="Y42" i="11"/>
  <c r="R31" i="11"/>
  <c r="X7" i="11"/>
  <c r="AA7" i="11" s="1"/>
  <c r="AB7" i="11" s="1"/>
  <c r="AC7" i="11"/>
  <c r="AD7" i="11" s="1"/>
  <c r="Y7" i="11"/>
  <c r="Q18" i="11"/>
  <c r="R18" i="11" s="1"/>
  <c r="P19" i="11"/>
  <c r="R19" i="11" s="1"/>
  <c r="Z19" i="11"/>
  <c r="U19" i="11"/>
  <c r="T19" i="11"/>
  <c r="W19" i="11" s="1"/>
  <c r="AC16" i="11"/>
  <c r="AD16" i="11" s="1"/>
  <c r="Y16" i="11"/>
  <c r="X16" i="11"/>
  <c r="AA16" i="11" s="1"/>
  <c r="AB16" i="11" s="1"/>
  <c r="Y17" i="11"/>
  <c r="X17" i="11"/>
  <c r="AA17" i="11" s="1"/>
  <c r="AB17" i="11" s="1"/>
  <c r="AC17" i="11"/>
  <c r="AD17" i="11" s="1"/>
  <c r="Z14" i="11"/>
  <c r="T14" i="11"/>
  <c r="W14" i="11" s="1"/>
  <c r="U14" i="11"/>
  <c r="E25" i="11"/>
  <c r="E45" i="11" s="1"/>
  <c r="E46" i="11" s="1"/>
  <c r="E47" i="11" s="1"/>
  <c r="E48" i="11" s="1"/>
  <c r="E57" i="11"/>
  <c r="E28" i="11"/>
  <c r="E22" i="11"/>
  <c r="P51" i="10"/>
  <c r="P63" i="10" s="1"/>
  <c r="P78" i="10" s="1"/>
  <c r="P79" i="10" s="1"/>
  <c r="T51" i="10"/>
  <c r="T63" i="10" s="1"/>
  <c r="T78" i="10" s="1"/>
  <c r="T79" i="10" s="1"/>
  <c r="S20" i="10"/>
  <c r="AG22" i="10"/>
  <c r="AG28" i="10"/>
  <c r="AH22" i="10"/>
  <c r="AH28" i="10"/>
  <c r="R76" i="10"/>
  <c r="R77" i="10" s="1"/>
  <c r="W76" i="10"/>
  <c r="W77" i="10" s="1"/>
  <c r="AG57" i="10"/>
  <c r="AG25" i="10"/>
  <c r="AG45" i="10" s="1"/>
  <c r="AG46" i="10" s="1"/>
  <c r="AG47" i="10" s="1"/>
  <c r="AG48" i="10" s="1"/>
  <c r="J27" i="10"/>
  <c r="J58" i="10"/>
  <c r="J76" i="10" s="1"/>
  <c r="J77" i="10" s="1"/>
  <c r="AJ22" i="10"/>
  <c r="AJ28" i="10"/>
  <c r="AI22" i="10"/>
  <c r="AI28" i="10"/>
  <c r="AH68" i="10"/>
  <c r="AH81" i="10" s="1"/>
  <c r="AH26" i="10"/>
  <c r="AH20" i="10"/>
  <c r="U26" i="10"/>
  <c r="U25" i="10" s="1"/>
  <c r="M76" i="10"/>
  <c r="M77" i="10" s="1"/>
  <c r="P58" i="10"/>
  <c r="P76" i="10" s="1"/>
  <c r="P77" i="10" s="1"/>
  <c r="X76" i="10"/>
  <c r="X77" i="10" s="1"/>
  <c r="AJ26" i="10"/>
  <c r="AJ20" i="10"/>
  <c r="AJ68" i="10"/>
  <c r="AJ81" i="10" s="1"/>
  <c r="AI20" i="10"/>
  <c r="AI26" i="10"/>
  <c r="AI68" i="10"/>
  <c r="AI81" i="10" s="1"/>
  <c r="S26" i="10"/>
  <c r="S50" i="10" s="1"/>
  <c r="T58" i="10"/>
  <c r="T76" i="10" s="1"/>
  <c r="T77" i="10" s="1"/>
  <c r="AE68" i="10"/>
  <c r="AE81" i="10" s="1"/>
  <c r="AE20" i="10"/>
  <c r="AE26" i="10"/>
  <c r="AD26" i="10"/>
  <c r="AD20" i="10"/>
  <c r="AD68" i="10"/>
  <c r="AD81" i="10" s="1"/>
  <c r="AD22" i="10"/>
  <c r="AD28" i="10"/>
  <c r="AC57" i="10"/>
  <c r="AC25" i="10"/>
  <c r="AC45" i="10" s="1"/>
  <c r="AC46" i="10" s="1"/>
  <c r="AC47" i="10" s="1"/>
  <c r="AC48" i="10" s="1"/>
  <c r="L76" i="10"/>
  <c r="L77" i="10" s="1"/>
  <c r="AF22" i="10"/>
  <c r="AF28" i="10"/>
  <c r="AF20" i="10"/>
  <c r="AF68" i="10"/>
  <c r="AF81" i="10" s="1"/>
  <c r="AF26" i="10"/>
  <c r="AE22" i="10"/>
  <c r="AE28" i="10"/>
  <c r="R27" i="10"/>
  <c r="AC22" i="10"/>
  <c r="AC28" i="10"/>
  <c r="R51" i="10"/>
  <c r="R63" i="10" s="1"/>
  <c r="R78" i="10" s="1"/>
  <c r="R79" i="10" s="1"/>
  <c r="S76" i="10"/>
  <c r="S77" i="10" s="1"/>
  <c r="M20" i="10"/>
  <c r="M27" i="10"/>
  <c r="M68" i="10"/>
  <c r="M81" i="10" s="1"/>
  <c r="U20" i="10"/>
  <c r="L51" i="10"/>
  <c r="L63" i="10" s="1"/>
  <c r="L78" i="10" s="1"/>
  <c r="L79" i="10" s="1"/>
  <c r="K68" i="10"/>
  <c r="K81" i="10" s="1"/>
  <c r="K26" i="10"/>
  <c r="W20" i="10"/>
  <c r="T26" i="10"/>
  <c r="T57" i="10" s="1"/>
  <c r="W68" i="10"/>
  <c r="W81" i="10" s="1"/>
  <c r="U58" i="10"/>
  <c r="U76" i="10" s="1"/>
  <c r="U77" i="10" s="1"/>
  <c r="L68" i="10"/>
  <c r="L81" i="10" s="1"/>
  <c r="L26" i="10"/>
  <c r="L20" i="10"/>
  <c r="U51" i="10"/>
  <c r="U63" i="10" s="1"/>
  <c r="U78" i="10" s="1"/>
  <c r="U79" i="10" s="1"/>
  <c r="Q28" i="10"/>
  <c r="Q51" i="10" s="1"/>
  <c r="Q63" i="10" s="1"/>
  <c r="Q78" i="10" s="1"/>
  <c r="Q79" i="10" s="1"/>
  <c r="K20" i="10"/>
  <c r="N20" i="10"/>
  <c r="AB28" i="10"/>
  <c r="AB22" i="10"/>
  <c r="AB20" i="10"/>
  <c r="AB68" i="10"/>
  <c r="AB81" i="10" s="1"/>
  <c r="AB26" i="10"/>
  <c r="G22" i="10"/>
  <c r="G28" i="10"/>
  <c r="R68" i="10"/>
  <c r="R81" i="10" s="1"/>
  <c r="R20" i="10"/>
  <c r="R26" i="10"/>
  <c r="AA61" i="10"/>
  <c r="AA60" i="10"/>
  <c r="AA64" i="10"/>
  <c r="AA80" i="10" s="1"/>
  <c r="AA83" i="10" s="1"/>
  <c r="AA84" i="10" s="1"/>
  <c r="AA52" i="10"/>
  <c r="AA70" i="10" s="1"/>
  <c r="AA71" i="10" s="1"/>
  <c r="O58" i="10"/>
  <c r="O76" i="10" s="1"/>
  <c r="O77" i="10" s="1"/>
  <c r="K51" i="10"/>
  <c r="K63" i="10" s="1"/>
  <c r="K78" i="10" s="1"/>
  <c r="K79" i="10" s="1"/>
  <c r="O51" i="10"/>
  <c r="O63" i="10" s="1"/>
  <c r="O78" i="10" s="1"/>
  <c r="O79" i="10" s="1"/>
  <c r="G20" i="10"/>
  <c r="G68" i="10"/>
  <c r="G81" i="10" s="1"/>
  <c r="G26" i="10"/>
  <c r="M51" i="10"/>
  <c r="M63" i="10" s="1"/>
  <c r="M78" i="10" s="1"/>
  <c r="M79" i="10" s="1"/>
  <c r="O20" i="10"/>
  <c r="O26" i="10"/>
  <c r="O50" i="10" s="1"/>
  <c r="K58" i="10"/>
  <c r="K76" i="10" s="1"/>
  <c r="K77" i="10" s="1"/>
  <c r="F22" i="10"/>
  <c r="F28" i="10"/>
  <c r="Z58" i="10"/>
  <c r="Z76" i="10" s="1"/>
  <c r="Z77" i="10" s="1"/>
  <c r="Z27" i="10"/>
  <c r="Z51" i="10"/>
  <c r="Z63" i="10" s="1"/>
  <c r="Z78" i="10" s="1"/>
  <c r="Z79" i="10" s="1"/>
  <c r="F68" i="10"/>
  <c r="F81" i="10" s="1"/>
  <c r="F26" i="10"/>
  <c r="F20" i="10"/>
  <c r="Z25" i="10"/>
  <c r="Z45" i="10" s="1"/>
  <c r="Z46" i="10" s="1"/>
  <c r="Z47" i="10" s="1"/>
  <c r="Z48" i="10" s="1"/>
  <c r="Z57" i="10"/>
  <c r="Z50" i="10"/>
  <c r="Q68" i="10"/>
  <c r="Q81" i="10" s="1"/>
  <c r="Q26" i="10"/>
  <c r="Q20" i="10"/>
  <c r="X20" i="10"/>
  <c r="N26" i="10"/>
  <c r="N57" i="10" s="1"/>
  <c r="T20" i="10"/>
  <c r="Y28" i="10"/>
  <c r="Y22" i="10"/>
  <c r="X26" i="10"/>
  <c r="X50" i="10" s="1"/>
  <c r="Y20" i="10"/>
  <c r="Y68" i="10"/>
  <c r="Y81" i="10" s="1"/>
  <c r="Y26" i="10"/>
  <c r="J26" i="9"/>
  <c r="J77" i="9" s="1"/>
  <c r="O20" i="9"/>
  <c r="AF57" i="9"/>
  <c r="AG57" i="9"/>
  <c r="AI57" i="9"/>
  <c r="G68" i="9"/>
  <c r="G91" i="9" s="1"/>
  <c r="G20" i="9"/>
  <c r="AB61" i="9"/>
  <c r="AE57" i="9"/>
  <c r="AA57" i="9"/>
  <c r="R57" i="9"/>
  <c r="Q57" i="9"/>
  <c r="U57" i="9"/>
  <c r="O57" i="9"/>
  <c r="O27" i="9"/>
  <c r="O51" i="9"/>
  <c r="O63" i="9" s="1"/>
  <c r="O88" i="9" s="1"/>
  <c r="O89" i="9" s="1"/>
  <c r="J86" i="9"/>
  <c r="J87" i="9" s="1"/>
  <c r="X27" i="9"/>
  <c r="O86" i="9"/>
  <c r="O87" i="9" s="1"/>
  <c r="F27" i="9"/>
  <c r="N20" i="9"/>
  <c r="N26" i="9"/>
  <c r="N77" i="9" s="1"/>
  <c r="R51" i="9"/>
  <c r="R63" i="9" s="1"/>
  <c r="R88" i="9" s="1"/>
  <c r="R89" i="9" s="1"/>
  <c r="R27" i="9"/>
  <c r="F51" i="9"/>
  <c r="F63" i="9" s="1"/>
  <c r="F88" i="9" s="1"/>
  <c r="F89" i="9" s="1"/>
  <c r="F26" i="9"/>
  <c r="F77" i="9" s="1"/>
  <c r="M86" i="9"/>
  <c r="M87" i="9" s="1"/>
  <c r="H86" i="9"/>
  <c r="H87" i="9" s="1"/>
  <c r="N86" i="9"/>
  <c r="N87" i="9" s="1"/>
  <c r="M20" i="9"/>
  <c r="V22" i="9"/>
  <c r="V28" i="9"/>
  <c r="U20" i="9"/>
  <c r="N27" i="9"/>
  <c r="M68" i="9"/>
  <c r="M91" i="9" s="1"/>
  <c r="V20" i="9"/>
  <c r="V26" i="9"/>
  <c r="V77" i="9" s="1"/>
  <c r="N51" i="9"/>
  <c r="N63" i="9" s="1"/>
  <c r="N88" i="9" s="1"/>
  <c r="N89" i="9" s="1"/>
  <c r="U86" i="9"/>
  <c r="U87" i="9" s="1"/>
  <c r="F68" i="9"/>
  <c r="F91" i="9" s="1"/>
  <c r="I68" i="9"/>
  <c r="I91" i="9" s="1"/>
  <c r="M27" i="9"/>
  <c r="I20" i="9"/>
  <c r="G86" i="9"/>
  <c r="G87" i="9" s="1"/>
  <c r="K58" i="9"/>
  <c r="K86" i="9" s="1"/>
  <c r="K87" i="9" s="1"/>
  <c r="Q27" i="9"/>
  <c r="M51" i="9"/>
  <c r="M63" i="9" s="1"/>
  <c r="M88" i="9" s="1"/>
  <c r="M89" i="9" s="1"/>
  <c r="K51" i="9"/>
  <c r="K63" i="9" s="1"/>
  <c r="K88" i="9" s="1"/>
  <c r="K89" i="9" s="1"/>
  <c r="Q58" i="9"/>
  <c r="Q86" i="9" s="1"/>
  <c r="Q87" i="9" s="1"/>
  <c r="L86" i="9"/>
  <c r="L87" i="9" s="1"/>
  <c r="K68" i="9"/>
  <c r="K91" i="9" s="1"/>
  <c r="K20" i="9"/>
  <c r="Q20" i="9"/>
  <c r="X86" i="9"/>
  <c r="X87" i="9" s="1"/>
  <c r="S22" i="9"/>
  <c r="S28" i="9"/>
  <c r="E22" i="9"/>
  <c r="E28" i="9"/>
  <c r="Y60" i="9"/>
  <c r="Y64" i="9"/>
  <c r="Y90" i="9" s="1"/>
  <c r="Y52" i="9"/>
  <c r="Y70" i="9" s="1"/>
  <c r="Y71" i="9" s="1"/>
  <c r="H20" i="9"/>
  <c r="Y61" i="9"/>
  <c r="H68" i="9"/>
  <c r="H91" i="9" s="1"/>
  <c r="R20" i="9"/>
  <c r="E26" i="9"/>
  <c r="E77" i="9" s="1"/>
  <c r="E20" i="9"/>
  <c r="E68" i="9"/>
  <c r="E91" i="9" s="1"/>
  <c r="L68" i="9"/>
  <c r="L91" i="9" s="1"/>
  <c r="L20" i="9"/>
  <c r="R86" i="9"/>
  <c r="R87" i="9" s="1"/>
  <c r="X26" i="9"/>
  <c r="X77" i="9" s="1"/>
  <c r="X20" i="9"/>
  <c r="T22" i="9"/>
  <c r="T28" i="9"/>
  <c r="P26" i="9"/>
  <c r="P77" i="9" s="1"/>
  <c r="P20" i="9"/>
  <c r="P28" i="9"/>
  <c r="P22" i="9"/>
  <c r="T26" i="9"/>
  <c r="T77" i="9" s="1"/>
  <c r="T20" i="9"/>
  <c r="F86" i="9"/>
  <c r="F87" i="9" s="1"/>
  <c r="S20" i="9"/>
  <c r="S26" i="9"/>
  <c r="S77" i="9" s="1"/>
  <c r="W22" i="9"/>
  <c r="W28" i="9"/>
  <c r="W20" i="9"/>
  <c r="W26" i="9"/>
  <c r="W77" i="9" s="1"/>
  <c r="I86" i="9"/>
  <c r="I87" i="9" s="1"/>
  <c r="Z25" i="9"/>
  <c r="Z45" i="9" s="1"/>
  <c r="Z46" i="9" s="1"/>
  <c r="Z47" i="9" s="1"/>
  <c r="Z48" i="9" s="1"/>
  <c r="Z57" i="9"/>
  <c r="J45" i="10"/>
  <c r="J46" i="10" s="1"/>
  <c r="J47" i="10" s="1"/>
  <c r="J48" i="10" s="1"/>
  <c r="I57" i="10"/>
  <c r="N81" i="10"/>
  <c r="I25" i="10"/>
  <c r="M25" i="10"/>
  <c r="M57" i="10"/>
  <c r="M50" i="10"/>
  <c r="P57" i="10"/>
  <c r="P50" i="10"/>
  <c r="P25" i="10"/>
  <c r="P81" i="10"/>
  <c r="O81" i="10"/>
  <c r="E57" i="10"/>
  <c r="E25" i="10"/>
  <c r="E50" i="10"/>
  <c r="W25" i="10"/>
  <c r="W50" i="10"/>
  <c r="W57" i="10"/>
  <c r="H25" i="10"/>
  <c r="H50" i="10"/>
  <c r="H57" i="10"/>
  <c r="V50" i="10"/>
  <c r="V25" i="10"/>
  <c r="V57" i="10"/>
  <c r="X25" i="10"/>
  <c r="X81" i="10"/>
  <c r="U57" i="10"/>
  <c r="U50" i="10"/>
  <c r="AI25" i="9"/>
  <c r="AI45" i="9" s="1"/>
  <c r="AI46" i="9" s="1"/>
  <c r="AI47" i="9" s="1"/>
  <c r="AI48" i="9" s="1"/>
  <c r="AI68" i="9"/>
  <c r="AI50" i="9"/>
  <c r="Z68" i="9"/>
  <c r="Z91" i="9" s="1"/>
  <c r="Z50" i="9"/>
  <c r="AG68" i="9"/>
  <c r="AG25" i="9"/>
  <c r="AG45" i="9" s="1"/>
  <c r="AG46" i="9" s="1"/>
  <c r="AG47" i="9" s="1"/>
  <c r="AG48" i="9" s="1"/>
  <c r="AG50" i="9"/>
  <c r="AF25" i="9"/>
  <c r="AF45" i="9" s="1"/>
  <c r="AF46" i="9" s="1"/>
  <c r="AF47" i="9" s="1"/>
  <c r="AF48" i="9" s="1"/>
  <c r="AF68" i="9"/>
  <c r="AF50" i="9"/>
  <c r="AE50" i="9"/>
  <c r="AE25" i="9"/>
  <c r="AE45" i="9" s="1"/>
  <c r="AE46" i="9" s="1"/>
  <c r="AE47" i="9" s="1"/>
  <c r="AE48" i="9" s="1"/>
  <c r="AE68" i="9"/>
  <c r="AB91" i="9"/>
  <c r="AA25" i="9"/>
  <c r="AA45" i="9" s="1"/>
  <c r="AA46" i="9" s="1"/>
  <c r="AA47" i="9" s="1"/>
  <c r="AA48" i="9" s="1"/>
  <c r="AA50" i="9"/>
  <c r="AA68" i="9"/>
  <c r="U50" i="9"/>
  <c r="U68" i="9"/>
  <c r="U25" i="9"/>
  <c r="U45" i="9" s="1"/>
  <c r="U46" i="9" s="1"/>
  <c r="U47" i="9" s="1"/>
  <c r="U48" i="9" s="1"/>
  <c r="Y91" i="9"/>
  <c r="R25" i="9"/>
  <c r="R45" i="9" s="1"/>
  <c r="R46" i="9" s="1"/>
  <c r="R47" i="9" s="1"/>
  <c r="R48" i="9" s="1"/>
  <c r="R50" i="9"/>
  <c r="R68" i="9"/>
  <c r="Q25" i="9"/>
  <c r="Q45" i="9" s="1"/>
  <c r="Q46" i="9" s="1"/>
  <c r="Q47" i="9" s="1"/>
  <c r="Q48" i="9" s="1"/>
  <c r="Q50" i="9"/>
  <c r="Q68" i="9"/>
  <c r="M57" i="9"/>
  <c r="M25" i="9"/>
  <c r="M45" i="9" s="1"/>
  <c r="M46" i="9" s="1"/>
  <c r="M47" i="9" s="1"/>
  <c r="M48" i="9" s="1"/>
  <c r="M50" i="9"/>
  <c r="K25" i="9"/>
  <c r="K45" i="9" s="1"/>
  <c r="K46" i="9" s="1"/>
  <c r="K47" i="9" s="1"/>
  <c r="K48" i="9" s="1"/>
  <c r="K50" i="9"/>
  <c r="K57" i="9"/>
  <c r="H25" i="9"/>
  <c r="H45" i="9" s="1"/>
  <c r="H46" i="9" s="1"/>
  <c r="H47" i="9" s="1"/>
  <c r="H48" i="9" s="1"/>
  <c r="H57" i="9"/>
  <c r="H50" i="9"/>
  <c r="L50" i="9"/>
  <c r="L25" i="9"/>
  <c r="L45" i="9" s="1"/>
  <c r="L46" i="9" s="1"/>
  <c r="L47" i="9" s="1"/>
  <c r="L48" i="9" s="1"/>
  <c r="L74" i="9" s="1"/>
  <c r="L75" i="9" s="1"/>
  <c r="L57" i="9"/>
  <c r="G25" i="9"/>
  <c r="G45" i="9" s="1"/>
  <c r="G46" i="9" s="1"/>
  <c r="G47" i="9" s="1"/>
  <c r="G48" i="9" s="1"/>
  <c r="G50" i="9"/>
  <c r="G57" i="9"/>
  <c r="J91" i="9"/>
  <c r="J25" i="9"/>
  <c r="J45" i="9" s="1"/>
  <c r="J46" i="9" s="1"/>
  <c r="J47" i="9" s="1"/>
  <c r="J48" i="9" s="1"/>
  <c r="J50" i="9"/>
  <c r="N91" i="9"/>
  <c r="O50" i="9"/>
  <c r="O25" i="9"/>
  <c r="O45" i="9" s="1"/>
  <c r="O46" i="9" s="1"/>
  <c r="O47" i="9" s="1"/>
  <c r="O48" i="9" s="1"/>
  <c r="O68" i="9"/>
  <c r="I57" i="9"/>
  <c r="I50" i="9"/>
  <c r="I25" i="9"/>
  <c r="I45" i="9" s="1"/>
  <c r="I46" i="9" s="1"/>
  <c r="I47" i="9" s="1"/>
  <c r="I48" i="9" s="1"/>
  <c r="I74" i="9" s="1"/>
  <c r="I75" i="9" s="1"/>
  <c r="F72" i="5"/>
  <c r="F75" i="5" s="1"/>
  <c r="F76" i="5" s="1"/>
  <c r="G72" i="5"/>
  <c r="G75" i="5" s="1"/>
  <c r="G76" i="5" s="1"/>
  <c r="G69" i="5"/>
  <c r="G62" i="5"/>
  <c r="G63" i="5" s="1"/>
  <c r="E64" i="5"/>
  <c r="E65" i="5" s="1"/>
  <c r="G55" i="5"/>
  <c r="G70" i="5" s="1"/>
  <c r="G71" i="5" s="1"/>
  <c r="F55" i="5"/>
  <c r="F70" i="5" s="1"/>
  <c r="F71" i="5" s="1"/>
  <c r="E55" i="5"/>
  <c r="E70" i="5" s="1"/>
  <c r="E71" i="5" s="1"/>
  <c r="H55" i="5"/>
  <c r="H70" i="5" s="1"/>
  <c r="H71" i="5" s="1"/>
  <c r="G53" i="5"/>
  <c r="G64" i="5" s="1"/>
  <c r="G65" i="5" s="1"/>
  <c r="H63" i="5"/>
  <c r="H53" i="5"/>
  <c r="H64" i="5" s="1"/>
  <c r="H65" i="5" s="1"/>
  <c r="M96" i="2" a="1"/>
  <c r="M96" i="2" s="1"/>
  <c r="L96" i="2" a="1"/>
  <c r="L96" i="2" s="1"/>
  <c r="L97" i="2" s="1"/>
  <c r="K99" i="2" a="1"/>
  <c r="K99" i="2" s="1"/>
  <c r="N99" i="2" a="1"/>
  <c r="N99" i="2" s="1"/>
  <c r="K102" i="2" a="1"/>
  <c r="K102" i="2" s="1"/>
  <c r="K104" i="2" s="1"/>
  <c r="I96" i="2" a="1"/>
  <c r="I96" i="2" s="1"/>
  <c r="F99" i="2" a="1"/>
  <c r="F99" i="2" s="1"/>
  <c r="H96" i="2" a="1"/>
  <c r="H96" i="2" s="1"/>
  <c r="H99" i="2" s="1" a="1"/>
  <c r="H99" i="2" s="1"/>
  <c r="G96" i="2" a="1"/>
  <c r="G96" i="2" s="1"/>
  <c r="G97" i="2" s="1"/>
  <c r="F32" i="2" a="1"/>
  <c r="F32" i="2" s="1"/>
  <c r="H32" i="2" s="1" a="1"/>
  <c r="H32" i="2" s="1"/>
  <c r="I29" i="2" a="1"/>
  <c r="I29" i="2" s="1"/>
  <c r="I32" i="2" s="1" a="1"/>
  <c r="I32" i="2" s="1"/>
  <c r="G29" i="2" a="1"/>
  <c r="G29" i="2" s="1"/>
  <c r="G30" i="2" s="1"/>
  <c r="L29" i="2" a="1"/>
  <c r="L29" i="2" s="1"/>
  <c r="L30" i="2" s="1"/>
  <c r="K32" i="2" a="1"/>
  <c r="K32" i="2" s="1"/>
  <c r="M29" i="2" a="1"/>
  <c r="M29" i="2" s="1"/>
  <c r="N29" i="2" a="1"/>
  <c r="N29" i="2" s="1"/>
  <c r="AH61" i="9" l="1"/>
  <c r="Y80" i="9"/>
  <c r="AC61" i="9"/>
  <c r="AH70" i="9"/>
  <c r="AH71" i="9" s="1"/>
  <c r="AC64" i="9"/>
  <c r="AC90" i="9" s="1"/>
  <c r="AC93" i="9" s="1"/>
  <c r="AC94" i="9" s="1"/>
  <c r="AC52" i="9"/>
  <c r="AC60" i="9"/>
  <c r="AC75" i="9"/>
  <c r="AC80" i="9"/>
  <c r="AC81" i="9" s="1"/>
  <c r="AH60" i="9"/>
  <c r="AH64" i="9"/>
  <c r="AH90" i="9" s="1"/>
  <c r="AH93" i="9" s="1"/>
  <c r="AH94" i="9" s="1"/>
  <c r="AH74" i="9"/>
  <c r="AH75" i="9" s="1"/>
  <c r="AB72" i="9"/>
  <c r="AB73" i="9" s="1"/>
  <c r="Z74" i="9"/>
  <c r="Z75" i="9" s="1"/>
  <c r="L80" i="9"/>
  <c r="L82" i="9" s="1"/>
  <c r="L83" i="9" s="1"/>
  <c r="I78" i="9"/>
  <c r="I79" i="9" s="1"/>
  <c r="I80" i="9"/>
  <c r="I82" i="9" s="1"/>
  <c r="I83" i="9" s="1"/>
  <c r="L81" i="9"/>
  <c r="AC51" i="9"/>
  <c r="AC63" i="9" s="1"/>
  <c r="AC88" i="9" s="1"/>
  <c r="AC89" i="9" s="1"/>
  <c r="AC27" i="9"/>
  <c r="AC58" i="9"/>
  <c r="AC86" i="9" s="1"/>
  <c r="AC87" i="9" s="1"/>
  <c r="AC70" i="9"/>
  <c r="AC71" i="9" s="1"/>
  <c r="AD77" i="9"/>
  <c r="AD68" i="9"/>
  <c r="AD91" i="9" s="1"/>
  <c r="AD57" i="9"/>
  <c r="AD50" i="9"/>
  <c r="AD25" i="9"/>
  <c r="AD45" i="9" s="1"/>
  <c r="AD46" i="9" s="1"/>
  <c r="AD47" i="9" s="1"/>
  <c r="AD48" i="9" s="1"/>
  <c r="K74" i="9"/>
  <c r="AF74" i="9"/>
  <c r="AF60" i="9"/>
  <c r="AF52" i="9"/>
  <c r="AF70" i="9" s="1"/>
  <c r="AF71" i="9" s="1"/>
  <c r="AF64" i="9"/>
  <c r="AF90" i="9" s="1"/>
  <c r="J74" i="9"/>
  <c r="J75" i="9" s="1"/>
  <c r="Y81" i="9"/>
  <c r="Y82" i="9"/>
  <c r="Y83" i="9" s="1"/>
  <c r="M74" i="9"/>
  <c r="AA74" i="9"/>
  <c r="AA64" i="9"/>
  <c r="AA90" i="9" s="1"/>
  <c r="AA60" i="9"/>
  <c r="AA52" i="9"/>
  <c r="AA70" i="9" s="1"/>
  <c r="AA71" i="9" s="1"/>
  <c r="AG74" i="9"/>
  <c r="AG60" i="9"/>
  <c r="AG52" i="9"/>
  <c r="AG70" i="9" s="1"/>
  <c r="AG71" i="9" s="1"/>
  <c r="AG64" i="9"/>
  <c r="AG90" i="9" s="1"/>
  <c r="AD27" i="9"/>
  <c r="AD58" i="9"/>
  <c r="AD86" i="9" s="1"/>
  <c r="AD87" i="9" s="1"/>
  <c r="AD51" i="9"/>
  <c r="AD63" i="9" s="1"/>
  <c r="AD88" i="9" s="1"/>
  <c r="AD89" i="9" s="1"/>
  <c r="G74" i="9"/>
  <c r="Q74" i="9"/>
  <c r="AH27" i="9"/>
  <c r="AH58" i="9"/>
  <c r="AH86" i="9" s="1"/>
  <c r="AH87" i="9" s="1"/>
  <c r="AH51" i="9"/>
  <c r="AH63" i="9" s="1"/>
  <c r="AH88" i="9" s="1"/>
  <c r="AH89" i="9" s="1"/>
  <c r="AE74" i="9"/>
  <c r="AE52" i="9"/>
  <c r="AE70" i="9" s="1"/>
  <c r="AE71" i="9" s="1"/>
  <c r="AE64" i="9"/>
  <c r="AE90" i="9" s="1"/>
  <c r="AE60" i="9"/>
  <c r="AB78" i="9"/>
  <c r="AB79" i="9" s="1"/>
  <c r="AB75" i="9"/>
  <c r="AB80" i="9"/>
  <c r="R74" i="9"/>
  <c r="AI74" i="9"/>
  <c r="AI60" i="9"/>
  <c r="AI64" i="9"/>
  <c r="AI90" i="9" s="1"/>
  <c r="AI52" i="9"/>
  <c r="AI70" i="9" s="1"/>
  <c r="AI71" i="9" s="1"/>
  <c r="O74" i="9"/>
  <c r="H74" i="9"/>
  <c r="U74" i="9"/>
  <c r="L78" i="9"/>
  <c r="L79" i="9" s="1"/>
  <c r="AC78" i="9"/>
  <c r="AC79" i="9" s="1"/>
  <c r="J57" i="9"/>
  <c r="T63" i="11"/>
  <c r="W63" i="11" s="1"/>
  <c r="X59" i="11"/>
  <c r="AA59" i="11" s="1"/>
  <c r="AB59" i="11" s="1"/>
  <c r="R63" i="11"/>
  <c r="U63" i="11"/>
  <c r="AC63" i="11"/>
  <c r="AD63" i="11" s="1"/>
  <c r="Y63" i="11"/>
  <c r="X63" i="11"/>
  <c r="AA63" i="11" s="1"/>
  <c r="AB63" i="11" s="1"/>
  <c r="AB26" i="11"/>
  <c r="U53" i="11"/>
  <c r="T53" i="11"/>
  <c r="W53" i="11" s="1"/>
  <c r="Y53" i="11" s="1"/>
  <c r="R53" i="11"/>
  <c r="R13" i="11"/>
  <c r="AB52" i="11"/>
  <c r="Z13" i="11"/>
  <c r="U13" i="11"/>
  <c r="X5" i="11"/>
  <c r="AA5" i="11" s="1"/>
  <c r="AB5" i="11" s="1"/>
  <c r="AC5" i="11"/>
  <c r="Z18" i="11"/>
  <c r="AC31" i="11"/>
  <c r="AD31" i="11" s="1"/>
  <c r="Y31" i="11"/>
  <c r="X31" i="11"/>
  <c r="AA31" i="11" s="1"/>
  <c r="AB31" i="11" s="1"/>
  <c r="AC20" i="11"/>
  <c r="AD20" i="11" s="1"/>
  <c r="Y20" i="11"/>
  <c r="X20" i="11"/>
  <c r="AA20" i="11" s="1"/>
  <c r="AB20" i="11" s="1"/>
  <c r="AC41" i="11"/>
  <c r="AD41" i="11" s="1"/>
  <c r="Y41" i="11"/>
  <c r="X41" i="11"/>
  <c r="AA41" i="11" s="1"/>
  <c r="AB41" i="11" s="1"/>
  <c r="AC47" i="11"/>
  <c r="AD47" i="11" s="1"/>
  <c r="Y47" i="11"/>
  <c r="X47" i="11"/>
  <c r="AA47" i="11" s="1"/>
  <c r="AB47" i="11" s="1"/>
  <c r="AC34" i="11"/>
  <c r="AD34" i="11" s="1"/>
  <c r="X34" i="11"/>
  <c r="AA34" i="11" s="1"/>
  <c r="AB34" i="11" s="1"/>
  <c r="Y34" i="11"/>
  <c r="AC27" i="11"/>
  <c r="AD27" i="11" s="1"/>
  <c r="X27" i="11"/>
  <c r="AA27" i="11" s="1"/>
  <c r="AB27" i="11" s="1"/>
  <c r="Y27" i="11"/>
  <c r="AC54" i="11"/>
  <c r="AD54" i="11" s="1"/>
  <c r="X54" i="11"/>
  <c r="AA54" i="11" s="1"/>
  <c r="AB54" i="11" s="1"/>
  <c r="Y54" i="11"/>
  <c r="X46" i="11"/>
  <c r="AA46" i="11" s="1"/>
  <c r="AB46" i="11" s="1"/>
  <c r="Y46" i="11"/>
  <c r="AC46" i="11"/>
  <c r="AD46" i="11" s="1"/>
  <c r="AC24" i="11"/>
  <c r="AD24" i="11" s="1"/>
  <c r="X24" i="11"/>
  <c r="AA24" i="11" s="1"/>
  <c r="AB24" i="11" s="1"/>
  <c r="Y24" i="11"/>
  <c r="U18" i="11"/>
  <c r="T18" i="11"/>
  <c r="W18" i="11" s="1"/>
  <c r="X18" i="11" s="1"/>
  <c r="AA18" i="11" s="1"/>
  <c r="AC14" i="11"/>
  <c r="AD14" i="11" s="1"/>
  <c r="Y14" i="11"/>
  <c r="X14" i="11"/>
  <c r="AA14" i="11" s="1"/>
  <c r="AB14" i="11" s="1"/>
  <c r="AC19" i="11"/>
  <c r="AD19" i="11" s="1"/>
  <c r="X19" i="11"/>
  <c r="AA19" i="11" s="1"/>
  <c r="AB19" i="11" s="1"/>
  <c r="Y19" i="11"/>
  <c r="AC13" i="11"/>
  <c r="Y13" i="11"/>
  <c r="X13" i="11"/>
  <c r="AA13" i="11" s="1"/>
  <c r="E58" i="11"/>
  <c r="E76" i="11" s="1"/>
  <c r="E77" i="11" s="1"/>
  <c r="E27" i="11"/>
  <c r="G4" i="11" s="1"/>
  <c r="H4" i="11" s="1"/>
  <c r="I4" i="11" s="1"/>
  <c r="E51" i="11"/>
  <c r="E63" i="11" s="1"/>
  <c r="E78" i="11" s="1"/>
  <c r="E79" i="11" s="1"/>
  <c r="E52" i="11"/>
  <c r="E70" i="11" s="1"/>
  <c r="E71" i="11" s="1"/>
  <c r="E61" i="11"/>
  <c r="E64" i="11"/>
  <c r="E80" i="11" s="1"/>
  <c r="E83" i="11" s="1"/>
  <c r="E84" i="11" s="1"/>
  <c r="E60" i="11"/>
  <c r="AI58" i="10"/>
  <c r="AI76" i="10" s="1"/>
  <c r="AI77" i="10" s="1"/>
  <c r="AI27" i="10"/>
  <c r="AI51" i="10"/>
  <c r="AI63" i="10" s="1"/>
  <c r="AI78" i="10" s="1"/>
  <c r="AI79" i="10" s="1"/>
  <c r="S57" i="10"/>
  <c r="S25" i="10"/>
  <c r="AI57" i="10"/>
  <c r="AI25" i="10"/>
  <c r="AI45" i="10" s="1"/>
  <c r="AI46" i="10" s="1"/>
  <c r="AI47" i="10" s="1"/>
  <c r="AI48" i="10" s="1"/>
  <c r="AI50" i="10"/>
  <c r="AJ25" i="10"/>
  <c r="AJ45" i="10" s="1"/>
  <c r="AJ46" i="10" s="1"/>
  <c r="AJ47" i="10" s="1"/>
  <c r="AJ48" i="10" s="1"/>
  <c r="AJ57" i="10"/>
  <c r="AJ50" i="10"/>
  <c r="AH57" i="10"/>
  <c r="AH25" i="10"/>
  <c r="AH45" i="10" s="1"/>
  <c r="AH46" i="10" s="1"/>
  <c r="AH47" i="10" s="1"/>
  <c r="AH48" i="10" s="1"/>
  <c r="AH50" i="10"/>
  <c r="AH27" i="10"/>
  <c r="AH58" i="10"/>
  <c r="AH76" i="10" s="1"/>
  <c r="AH77" i="10" s="1"/>
  <c r="AH51" i="10"/>
  <c r="AH63" i="10" s="1"/>
  <c r="AH78" i="10" s="1"/>
  <c r="AH79" i="10" s="1"/>
  <c r="AJ58" i="10"/>
  <c r="AJ76" i="10" s="1"/>
  <c r="AJ77" i="10" s="1"/>
  <c r="AJ27" i="10"/>
  <c r="AJ51" i="10"/>
  <c r="AJ63" i="10" s="1"/>
  <c r="AJ78" i="10" s="1"/>
  <c r="AJ79" i="10" s="1"/>
  <c r="AG27" i="10"/>
  <c r="AG58" i="10"/>
  <c r="AG76" i="10" s="1"/>
  <c r="AG77" i="10" s="1"/>
  <c r="AG51" i="10"/>
  <c r="AG63" i="10" s="1"/>
  <c r="AG78" i="10" s="1"/>
  <c r="AG79" i="10" s="1"/>
  <c r="AG61" i="10"/>
  <c r="AG64" i="10"/>
  <c r="AG80" i="10" s="1"/>
  <c r="AG83" i="10" s="1"/>
  <c r="AG84" i="10" s="1"/>
  <c r="AG60" i="10"/>
  <c r="AG72" i="10" s="1"/>
  <c r="AG73" i="10" s="1"/>
  <c r="AG52" i="10"/>
  <c r="AG70" i="10" s="1"/>
  <c r="AG71" i="10" s="1"/>
  <c r="AD27" i="10"/>
  <c r="AD58" i="10"/>
  <c r="AD76" i="10" s="1"/>
  <c r="AD77" i="10" s="1"/>
  <c r="AD51" i="10"/>
  <c r="AD63" i="10" s="1"/>
  <c r="AD78" i="10" s="1"/>
  <c r="AD79" i="10" s="1"/>
  <c r="AE58" i="10"/>
  <c r="AE76" i="10" s="1"/>
  <c r="AE77" i="10" s="1"/>
  <c r="AE27" i="10"/>
  <c r="AE51" i="10"/>
  <c r="AE63" i="10" s="1"/>
  <c r="AE78" i="10" s="1"/>
  <c r="AE79" i="10" s="1"/>
  <c r="AE57" i="10"/>
  <c r="AE25" i="10"/>
  <c r="AE45" i="10" s="1"/>
  <c r="AE46" i="10" s="1"/>
  <c r="AE47" i="10" s="1"/>
  <c r="AE48" i="10" s="1"/>
  <c r="AE50" i="10"/>
  <c r="AC58" i="10"/>
  <c r="AC76" i="10" s="1"/>
  <c r="AC77" i="10" s="1"/>
  <c r="AC27" i="10"/>
  <c r="AC51" i="10"/>
  <c r="AC63" i="10" s="1"/>
  <c r="AC78" i="10" s="1"/>
  <c r="AC79" i="10" s="1"/>
  <c r="AF25" i="10"/>
  <c r="AF45" i="10" s="1"/>
  <c r="AF46" i="10" s="1"/>
  <c r="AF47" i="10" s="1"/>
  <c r="AF48" i="10" s="1"/>
  <c r="AF57" i="10"/>
  <c r="AF50" i="10"/>
  <c r="O57" i="10"/>
  <c r="AC52" i="10"/>
  <c r="AC70" i="10" s="1"/>
  <c r="AC71" i="10" s="1"/>
  <c r="AC64" i="10"/>
  <c r="AC80" i="10" s="1"/>
  <c r="AC83" i="10" s="1"/>
  <c r="AC84" i="10" s="1"/>
  <c r="AC61" i="10"/>
  <c r="AC60" i="10"/>
  <c r="AC72" i="10" s="1"/>
  <c r="AC73" i="10" s="1"/>
  <c r="AD57" i="10"/>
  <c r="AD25" i="10"/>
  <c r="AD45" i="10" s="1"/>
  <c r="AD46" i="10" s="1"/>
  <c r="AD47" i="10" s="1"/>
  <c r="AD48" i="10" s="1"/>
  <c r="AD50" i="10"/>
  <c r="Q58" i="10"/>
  <c r="Q76" i="10" s="1"/>
  <c r="Q77" i="10" s="1"/>
  <c r="AF58" i="10"/>
  <c r="AF76" i="10" s="1"/>
  <c r="AF77" i="10" s="1"/>
  <c r="AF27" i="10"/>
  <c r="AF51" i="10"/>
  <c r="AF63" i="10" s="1"/>
  <c r="AF78" i="10" s="1"/>
  <c r="AF79" i="10" s="1"/>
  <c r="X57" i="10"/>
  <c r="T50" i="10"/>
  <c r="T25" i="10"/>
  <c r="T45" i="10" s="1"/>
  <c r="T46" i="10" s="1"/>
  <c r="T47" i="10" s="1"/>
  <c r="T48" i="10" s="1"/>
  <c r="Q27" i="10"/>
  <c r="K50" i="10"/>
  <c r="K57" i="10"/>
  <c r="K25" i="10"/>
  <c r="K45" i="10" s="1"/>
  <c r="K46" i="10" s="1"/>
  <c r="K47" i="10" s="1"/>
  <c r="K48" i="10" s="1"/>
  <c r="K60" i="10" s="1"/>
  <c r="L57" i="10"/>
  <c r="L25" i="10"/>
  <c r="L45" i="10" s="1"/>
  <c r="L46" i="10" s="1"/>
  <c r="L47" i="10" s="1"/>
  <c r="L48" i="10" s="1"/>
  <c r="L60" i="10" s="1"/>
  <c r="L50" i="10"/>
  <c r="N25" i="10"/>
  <c r="N45" i="10" s="1"/>
  <c r="N46" i="10" s="1"/>
  <c r="N47" i="10" s="1"/>
  <c r="N48" i="10" s="1"/>
  <c r="O25" i="10"/>
  <c r="O45" i="10" s="1"/>
  <c r="O46" i="10" s="1"/>
  <c r="O47" i="10" s="1"/>
  <c r="O48" i="10" s="1"/>
  <c r="N50" i="10"/>
  <c r="J61" i="10"/>
  <c r="J64" i="10"/>
  <c r="J80" i="10" s="1"/>
  <c r="J83" i="10" s="1"/>
  <c r="J84" i="10" s="1"/>
  <c r="J60" i="10"/>
  <c r="Z60" i="10"/>
  <c r="Z61" i="10"/>
  <c r="Z64" i="10"/>
  <c r="Z80" i="10" s="1"/>
  <c r="Z83" i="10" s="1"/>
  <c r="Z84" i="10" s="1"/>
  <c r="Z52" i="10"/>
  <c r="Z70" i="10" s="1"/>
  <c r="Z71" i="10" s="1"/>
  <c r="R57" i="10"/>
  <c r="R25" i="10"/>
  <c r="R45" i="10" s="1"/>
  <c r="R46" i="10" s="1"/>
  <c r="R47" i="10" s="1"/>
  <c r="R48" i="10" s="1"/>
  <c r="R60" i="10" s="1"/>
  <c r="V45" i="10"/>
  <c r="V46" i="10" s="1"/>
  <c r="V47" i="10" s="1"/>
  <c r="V48" i="10" s="1"/>
  <c r="AB57" i="10"/>
  <c r="AB25" i="10"/>
  <c r="AB45" i="10" s="1"/>
  <c r="AB46" i="10" s="1"/>
  <c r="AB47" i="10" s="1"/>
  <c r="AB48" i="10" s="1"/>
  <c r="AB50" i="10"/>
  <c r="H45" i="10"/>
  <c r="H46" i="10" s="1"/>
  <c r="H47" i="10" s="1"/>
  <c r="H48" i="10" s="1"/>
  <c r="F58" i="10"/>
  <c r="F76" i="10" s="1"/>
  <c r="F77" i="10" s="1"/>
  <c r="F27" i="10"/>
  <c r="F51" i="10"/>
  <c r="F63" i="10" s="1"/>
  <c r="F78" i="10" s="1"/>
  <c r="F79" i="10" s="1"/>
  <c r="Y57" i="10"/>
  <c r="Y25" i="10"/>
  <c r="Y45" i="10" s="1"/>
  <c r="Y46" i="10" s="1"/>
  <c r="Y47" i="10" s="1"/>
  <c r="Y48" i="10" s="1"/>
  <c r="Y50" i="10"/>
  <c r="X45" i="10"/>
  <c r="X46" i="10" s="1"/>
  <c r="X47" i="10" s="1"/>
  <c r="X48" i="10" s="1"/>
  <c r="G50" i="10"/>
  <c r="G57" i="10"/>
  <c r="G25" i="10"/>
  <c r="AB58" i="10"/>
  <c r="AB76" i="10" s="1"/>
  <c r="AB77" i="10" s="1"/>
  <c r="AB27" i="10"/>
  <c r="AB51" i="10"/>
  <c r="AB63" i="10" s="1"/>
  <c r="AB78" i="10" s="1"/>
  <c r="AB79" i="10" s="1"/>
  <c r="F57" i="10"/>
  <c r="F25" i="10"/>
  <c r="F50" i="10"/>
  <c r="Y58" i="10"/>
  <c r="Y76" i="10" s="1"/>
  <c r="Y77" i="10" s="1"/>
  <c r="Y27" i="10"/>
  <c r="Y51" i="10"/>
  <c r="Y63" i="10" s="1"/>
  <c r="Y78" i="10" s="1"/>
  <c r="Y79" i="10" s="1"/>
  <c r="G51" i="10"/>
  <c r="G63" i="10" s="1"/>
  <c r="G78" i="10" s="1"/>
  <c r="G79" i="10" s="1"/>
  <c r="G58" i="10"/>
  <c r="G76" i="10" s="1"/>
  <c r="G77" i="10" s="1"/>
  <c r="G27" i="10"/>
  <c r="Q50" i="10"/>
  <c r="Q25" i="10"/>
  <c r="Q45" i="10" s="1"/>
  <c r="Q46" i="10" s="1"/>
  <c r="Q47" i="10" s="1"/>
  <c r="Q48" i="10" s="1"/>
  <c r="Q52" i="10" s="1"/>
  <c r="Q57" i="10"/>
  <c r="U45" i="10"/>
  <c r="U46" i="10" s="1"/>
  <c r="U47" i="10" s="1"/>
  <c r="U48" i="10" s="1"/>
  <c r="R50" i="10"/>
  <c r="W45" i="10"/>
  <c r="W46" i="10" s="1"/>
  <c r="W47" i="10" s="1"/>
  <c r="W48" i="10" s="1"/>
  <c r="AA72" i="10"/>
  <c r="AA73" i="10" s="1"/>
  <c r="AI61" i="9"/>
  <c r="AG61" i="9"/>
  <c r="AE61" i="9"/>
  <c r="AF61" i="9"/>
  <c r="AA61" i="9"/>
  <c r="F25" i="9"/>
  <c r="F45" i="9" s="1"/>
  <c r="F46" i="9" s="1"/>
  <c r="F47" i="9" s="1"/>
  <c r="F48" i="9" s="1"/>
  <c r="N25" i="9"/>
  <c r="N45" i="9" s="1"/>
  <c r="N46" i="9" s="1"/>
  <c r="N47" i="9" s="1"/>
  <c r="N48" i="9" s="1"/>
  <c r="N57" i="9"/>
  <c r="N50" i="9"/>
  <c r="K61" i="9"/>
  <c r="F57" i="9"/>
  <c r="F50" i="9"/>
  <c r="R61" i="9"/>
  <c r="Y72" i="9"/>
  <c r="Q61" i="9"/>
  <c r="G61" i="9"/>
  <c r="V27" i="9"/>
  <c r="V51" i="9"/>
  <c r="V63" i="9" s="1"/>
  <c r="V88" i="9" s="1"/>
  <c r="V89" i="9" s="1"/>
  <c r="V58" i="9"/>
  <c r="V86" i="9" s="1"/>
  <c r="V87" i="9" s="1"/>
  <c r="M61" i="9"/>
  <c r="V57" i="9"/>
  <c r="V50" i="9"/>
  <c r="V25" i="9"/>
  <c r="V45" i="9" s="1"/>
  <c r="V46" i="9" s="1"/>
  <c r="V47" i="9" s="1"/>
  <c r="V48" i="9" s="1"/>
  <c r="V74" i="9" s="1"/>
  <c r="V75" i="9" s="1"/>
  <c r="V68" i="9"/>
  <c r="V91" i="9" s="1"/>
  <c r="L61" i="9"/>
  <c r="H61" i="9"/>
  <c r="I61" i="9"/>
  <c r="O60" i="9"/>
  <c r="O52" i="9"/>
  <c r="O70" i="9" s="1"/>
  <c r="O71" i="9" s="1"/>
  <c r="O64" i="9"/>
  <c r="O90" i="9" s="1"/>
  <c r="G60" i="9"/>
  <c r="G72" i="9" s="1"/>
  <c r="G52" i="9"/>
  <c r="G70" i="9" s="1"/>
  <c r="G71" i="9" s="1"/>
  <c r="G64" i="9"/>
  <c r="G90" i="9" s="1"/>
  <c r="G93" i="9" s="1"/>
  <c r="G94" i="9" s="1"/>
  <c r="Z61" i="9"/>
  <c r="W57" i="9"/>
  <c r="W68" i="9"/>
  <c r="W91" i="9" s="1"/>
  <c r="W25" i="9"/>
  <c r="W45" i="9" s="1"/>
  <c r="W46" i="9" s="1"/>
  <c r="W47" i="9" s="1"/>
  <c r="W48" i="9" s="1"/>
  <c r="W50" i="9"/>
  <c r="P51" i="9"/>
  <c r="P63" i="9" s="1"/>
  <c r="P88" i="9" s="1"/>
  <c r="P89" i="9" s="1"/>
  <c r="P58" i="9"/>
  <c r="P86" i="9" s="1"/>
  <c r="P87" i="9" s="1"/>
  <c r="P27" i="9"/>
  <c r="P57" i="9"/>
  <c r="P25" i="9"/>
  <c r="P45" i="9" s="1"/>
  <c r="P46" i="9" s="1"/>
  <c r="P47" i="9" s="1"/>
  <c r="P48" i="9" s="1"/>
  <c r="P50" i="9"/>
  <c r="P68" i="9"/>
  <c r="P91" i="9" s="1"/>
  <c r="K64" i="9"/>
  <c r="K90" i="9" s="1"/>
  <c r="K93" i="9" s="1"/>
  <c r="K94" i="9" s="1"/>
  <c r="K60" i="9"/>
  <c r="K52" i="9"/>
  <c r="K70" i="9" s="1"/>
  <c r="K71" i="9" s="1"/>
  <c r="L52" i="9"/>
  <c r="L70" i="9" s="1"/>
  <c r="L71" i="9" s="1"/>
  <c r="L60" i="9"/>
  <c r="L64" i="9"/>
  <c r="L90" i="9" s="1"/>
  <c r="L93" i="9" s="1"/>
  <c r="L94" i="9" s="1"/>
  <c r="R64" i="9"/>
  <c r="R90" i="9" s="1"/>
  <c r="R52" i="9"/>
  <c r="R70" i="9" s="1"/>
  <c r="R71" i="9" s="1"/>
  <c r="R60" i="9"/>
  <c r="E57" i="9"/>
  <c r="E25" i="9"/>
  <c r="E45" i="9" s="1"/>
  <c r="E46" i="9" s="1"/>
  <c r="E47" i="9" s="1"/>
  <c r="E48" i="9" s="1"/>
  <c r="E50" i="9"/>
  <c r="U52" i="9"/>
  <c r="U70" i="9" s="1"/>
  <c r="U71" i="9" s="1"/>
  <c r="U64" i="9"/>
  <c r="U90" i="9" s="1"/>
  <c r="U60" i="9"/>
  <c r="Q60" i="9"/>
  <c r="Q52" i="9"/>
  <c r="Q70" i="9" s="1"/>
  <c r="Q71" i="9" s="1"/>
  <c r="Q64" i="9"/>
  <c r="Q90" i="9" s="1"/>
  <c r="W58" i="9"/>
  <c r="W86" i="9" s="1"/>
  <c r="W87" i="9" s="1"/>
  <c r="W51" i="9"/>
  <c r="W63" i="9" s="1"/>
  <c r="W88" i="9" s="1"/>
  <c r="W89" i="9" s="1"/>
  <c r="W27" i="9"/>
  <c r="X57" i="9"/>
  <c r="X50" i="9"/>
  <c r="X68" i="9"/>
  <c r="X91" i="9" s="1"/>
  <c r="X25" i="9"/>
  <c r="X45" i="9" s="1"/>
  <c r="X46" i="9" s="1"/>
  <c r="X47" i="9" s="1"/>
  <c r="X48" i="9" s="1"/>
  <c r="X74" i="9" s="1"/>
  <c r="X75" i="9" s="1"/>
  <c r="J61" i="9"/>
  <c r="M60" i="9"/>
  <c r="M64" i="9"/>
  <c r="M90" i="9" s="1"/>
  <c r="M93" i="9" s="1"/>
  <c r="M94" i="9" s="1"/>
  <c r="M52" i="9"/>
  <c r="M70" i="9" s="1"/>
  <c r="M71" i="9" s="1"/>
  <c r="S57" i="9"/>
  <c r="S68" i="9"/>
  <c r="S91" i="9" s="1"/>
  <c r="S25" i="9"/>
  <c r="S45" i="9" s="1"/>
  <c r="S46" i="9" s="1"/>
  <c r="S47" i="9" s="1"/>
  <c r="S48" i="9" s="1"/>
  <c r="S50" i="9"/>
  <c r="S51" i="9"/>
  <c r="S63" i="9" s="1"/>
  <c r="S88" i="9" s="1"/>
  <c r="S89" i="9" s="1"/>
  <c r="S58" i="9"/>
  <c r="S86" i="9" s="1"/>
  <c r="S87" i="9" s="1"/>
  <c r="S27" i="9"/>
  <c r="Z64" i="9"/>
  <c r="Z90" i="9" s="1"/>
  <c r="Z93" i="9" s="1"/>
  <c r="Z94" i="9" s="1"/>
  <c r="Z52" i="9"/>
  <c r="Z70" i="9" s="1"/>
  <c r="Z71" i="9" s="1"/>
  <c r="Z60" i="9"/>
  <c r="T57" i="9"/>
  <c r="T50" i="9"/>
  <c r="T25" i="9"/>
  <c r="T45" i="9" s="1"/>
  <c r="T46" i="9" s="1"/>
  <c r="T47" i="9" s="1"/>
  <c r="T48" i="9" s="1"/>
  <c r="T68" i="9"/>
  <c r="T91" i="9" s="1"/>
  <c r="O61" i="9"/>
  <c r="H64" i="9"/>
  <c r="H90" i="9" s="1"/>
  <c r="H93" i="9" s="1"/>
  <c r="H94" i="9" s="1"/>
  <c r="H60" i="9"/>
  <c r="H52" i="9"/>
  <c r="H70" i="9" s="1"/>
  <c r="H71" i="9" s="1"/>
  <c r="U61" i="9"/>
  <c r="T27" i="9"/>
  <c r="T51" i="9"/>
  <c r="T63" i="9" s="1"/>
  <c r="T88" i="9" s="1"/>
  <c r="T89" i="9" s="1"/>
  <c r="T58" i="9"/>
  <c r="T86" i="9" s="1"/>
  <c r="T87" i="9" s="1"/>
  <c r="E51" i="9"/>
  <c r="E63" i="9" s="1"/>
  <c r="E88" i="9" s="1"/>
  <c r="E89" i="9" s="1"/>
  <c r="E58" i="9"/>
  <c r="E86" i="9" s="1"/>
  <c r="E87" i="9" s="1"/>
  <c r="E27" i="9"/>
  <c r="I52" i="9"/>
  <c r="I70" i="9" s="1"/>
  <c r="I71" i="9" s="1"/>
  <c r="I64" i="9"/>
  <c r="I90" i="9" s="1"/>
  <c r="I93" i="9" s="1"/>
  <c r="I94" i="9" s="1"/>
  <c r="I60" i="9"/>
  <c r="J64" i="9"/>
  <c r="J90" i="9" s="1"/>
  <c r="J93" i="9" s="1"/>
  <c r="J94" i="9" s="1"/>
  <c r="J60" i="9"/>
  <c r="J52" i="9"/>
  <c r="J70" i="9" s="1"/>
  <c r="J71" i="9" s="1"/>
  <c r="S45" i="10"/>
  <c r="S46" i="10" s="1"/>
  <c r="S47" i="10" s="1"/>
  <c r="S48" i="10" s="1"/>
  <c r="P45" i="10"/>
  <c r="P46" i="10" s="1"/>
  <c r="P47" i="10" s="1"/>
  <c r="P48" i="10" s="1"/>
  <c r="M45" i="10"/>
  <c r="M46" i="10" s="1"/>
  <c r="M47" i="10" s="1"/>
  <c r="M48" i="10" s="1"/>
  <c r="J52" i="10"/>
  <c r="J70" i="10" s="1"/>
  <c r="J71" i="10" s="1"/>
  <c r="I45" i="10"/>
  <c r="I46" i="10" s="1"/>
  <c r="I47" i="10" s="1"/>
  <c r="I48" i="10" s="1"/>
  <c r="E45" i="10"/>
  <c r="E46" i="10" s="1"/>
  <c r="E47" i="10" s="1"/>
  <c r="E48" i="10" s="1"/>
  <c r="AB93" i="9"/>
  <c r="AB94" i="9" s="1"/>
  <c r="AI91" i="9"/>
  <c r="AE91" i="9"/>
  <c r="AF91" i="9"/>
  <c r="AG91" i="9"/>
  <c r="AA91" i="9"/>
  <c r="Y93" i="9"/>
  <c r="Y94" i="9" s="1"/>
  <c r="U91" i="9"/>
  <c r="R91" i="9"/>
  <c r="Q91" i="9"/>
  <c r="O91" i="9"/>
  <c r="F102" i="2" a="1"/>
  <c r="F102" i="2" s="1"/>
  <c r="H102" i="2" s="1" a="1"/>
  <c r="H102" i="2" s="1"/>
  <c r="I99" i="2" a="1"/>
  <c r="I99" i="2" s="1"/>
  <c r="I102" i="2" s="1" a="1"/>
  <c r="I102" i="2" s="1"/>
  <c r="G99" i="2" a="1"/>
  <c r="G99" i="2" s="1"/>
  <c r="G100" i="2" s="1"/>
  <c r="K109" i="2"/>
  <c r="K108" i="2"/>
  <c r="K107" i="2"/>
  <c r="K106" i="2"/>
  <c r="N102" i="2" a="1"/>
  <c r="N102" i="2" s="1"/>
  <c r="L99" i="2" a="1"/>
  <c r="L99" i="2" s="1"/>
  <c r="L100" i="2" s="1"/>
  <c r="M99" i="2" a="1"/>
  <c r="M99" i="2" s="1"/>
  <c r="M110" i="2" s="1" a="1"/>
  <c r="M110" i="2" s="1"/>
  <c r="K110" i="2" a="1"/>
  <c r="K110" i="2" s="1"/>
  <c r="N110" i="2" s="1" a="1"/>
  <c r="N110" i="2" s="1"/>
  <c r="M102" i="2" a="1"/>
  <c r="M102" i="2" s="1"/>
  <c r="F35" i="2" a="1"/>
  <c r="F35" i="2" s="1"/>
  <c r="H35" i="2" s="1" a="1"/>
  <c r="H35" i="2" s="1"/>
  <c r="M32" i="2" a="1"/>
  <c r="M32" i="2" s="1"/>
  <c r="G32" i="2" a="1"/>
  <c r="G32" i="2" s="1"/>
  <c r="G33" i="2" s="1"/>
  <c r="L32" i="2" a="1"/>
  <c r="L32" i="2" s="1"/>
  <c r="L33" i="2" s="1"/>
  <c r="N32" i="2" a="1"/>
  <c r="N32" i="2" s="1"/>
  <c r="K35" i="2" a="1"/>
  <c r="K35" i="2" s="1"/>
  <c r="AC82" i="9" l="1"/>
  <c r="AC83" i="9" s="1"/>
  <c r="AC72" i="9"/>
  <c r="AC73" i="9" s="1"/>
  <c r="AH72" i="9"/>
  <c r="AH73" i="9" s="1"/>
  <c r="Z80" i="9"/>
  <c r="Z82" i="9" s="1"/>
  <c r="Z83" i="9" s="1"/>
  <c r="AI93" i="9"/>
  <c r="AI94" i="9" s="1"/>
  <c r="T74" i="9"/>
  <c r="T75" i="9" s="1"/>
  <c r="AC84" i="9"/>
  <c r="AA72" i="9"/>
  <c r="AA73" i="9" s="1"/>
  <c r="Z78" i="9"/>
  <c r="Z79" i="9" s="1"/>
  <c r="AC85" i="9"/>
  <c r="Y84" i="9"/>
  <c r="AH78" i="9"/>
  <c r="AH79" i="9" s="1"/>
  <c r="I81" i="9"/>
  <c r="AH80" i="9"/>
  <c r="AH82" i="9" s="1"/>
  <c r="F74" i="9"/>
  <c r="F75" i="9" s="1"/>
  <c r="H75" i="9"/>
  <c r="H78" i="9"/>
  <c r="H79" i="9" s="1"/>
  <c r="H80" i="9"/>
  <c r="O75" i="9"/>
  <c r="O80" i="9"/>
  <c r="O78" i="9"/>
  <c r="O79" i="9" s="1"/>
  <c r="W74" i="9"/>
  <c r="V78" i="9"/>
  <c r="V79" i="9" s="1"/>
  <c r="Q75" i="9"/>
  <c r="Q80" i="9"/>
  <c r="Q78" i="9"/>
  <c r="Q79" i="9" s="1"/>
  <c r="S74" i="9"/>
  <c r="V80" i="9"/>
  <c r="N64" i="9"/>
  <c r="N90" i="9" s="1"/>
  <c r="N93" i="9" s="1"/>
  <c r="N94" i="9" s="1"/>
  <c r="N74" i="9"/>
  <c r="AG75" i="9"/>
  <c r="AG78" i="9"/>
  <c r="AG79" i="9" s="1"/>
  <c r="AG80" i="9"/>
  <c r="AE75" i="9"/>
  <c r="AE80" i="9"/>
  <c r="AE78" i="9"/>
  <c r="AE79" i="9" s="1"/>
  <c r="G75" i="9"/>
  <c r="G80" i="9"/>
  <c r="G78" i="9"/>
  <c r="G79" i="9" s="1"/>
  <c r="AF75" i="9"/>
  <c r="AF78" i="9"/>
  <c r="AF79" i="9" s="1"/>
  <c r="AF80" i="9"/>
  <c r="N52" i="9"/>
  <c r="N70" i="9" s="1"/>
  <c r="N71" i="9" s="1"/>
  <c r="AF72" i="9"/>
  <c r="AI75" i="9"/>
  <c r="AI80" i="9"/>
  <c r="AI78" i="9"/>
  <c r="AI79" i="9" s="1"/>
  <c r="J78" i="9"/>
  <c r="J79" i="9" s="1"/>
  <c r="K75" i="9"/>
  <c r="K80" i="9"/>
  <c r="K78" i="9"/>
  <c r="K79" i="9" s="1"/>
  <c r="AE72" i="9"/>
  <c r="J80" i="9"/>
  <c r="AA80" i="9"/>
  <c r="AA75" i="9"/>
  <c r="AA78" i="9"/>
  <c r="AA79" i="9" s="1"/>
  <c r="AD74" i="9"/>
  <c r="AD75" i="9" s="1"/>
  <c r="AD64" i="9"/>
  <c r="AD90" i="9" s="1"/>
  <c r="AD93" i="9" s="1"/>
  <c r="AD94" i="9" s="1"/>
  <c r="AD60" i="9"/>
  <c r="AD52" i="9"/>
  <c r="AD70" i="9" s="1"/>
  <c r="AD71" i="9" s="1"/>
  <c r="AD61" i="9"/>
  <c r="AG72" i="9"/>
  <c r="M80" i="9"/>
  <c r="M75" i="9"/>
  <c r="M78" i="9"/>
  <c r="M79" i="9" s="1"/>
  <c r="P74" i="9"/>
  <c r="AI72" i="9"/>
  <c r="T80" i="9"/>
  <c r="X78" i="9"/>
  <c r="X79" i="9" s="1"/>
  <c r="T78" i="9"/>
  <c r="T79" i="9" s="1"/>
  <c r="X80" i="9"/>
  <c r="R75" i="9"/>
  <c r="R78" i="9"/>
  <c r="R79" i="9" s="1"/>
  <c r="R80" i="9"/>
  <c r="U75" i="9"/>
  <c r="U80" i="9"/>
  <c r="U78" i="9"/>
  <c r="U79" i="9" s="1"/>
  <c r="AB81" i="9"/>
  <c r="AB82" i="9"/>
  <c r="AB83" i="9" s="1"/>
  <c r="AB85" i="9" s="1"/>
  <c r="AG93" i="9"/>
  <c r="AG94" i="9" s="1"/>
  <c r="Y73" i="9"/>
  <c r="Y85" i="9" s="1"/>
  <c r="G73" i="9"/>
  <c r="N60" i="9"/>
  <c r="L72" i="9"/>
  <c r="L84" i="9" s="1"/>
  <c r="L4" i="11"/>
  <c r="K4" i="11"/>
  <c r="AD5" i="11"/>
  <c r="AE5" i="11" s="1"/>
  <c r="AC53" i="11"/>
  <c r="AD53" i="11" s="1"/>
  <c r="X53" i="11"/>
  <c r="AA53" i="11" s="1"/>
  <c r="AB53" i="11" s="1"/>
  <c r="AB13" i="11"/>
  <c r="AB18" i="11"/>
  <c r="Y18" i="11"/>
  <c r="AC18" i="11"/>
  <c r="AD18" i="11" s="1"/>
  <c r="AE6" i="11"/>
  <c r="AE7" i="11" s="1"/>
  <c r="AE8" i="11" s="1"/>
  <c r="AE9" i="11" s="1"/>
  <c r="AE10" i="11" s="1"/>
  <c r="AE11" i="11" s="1"/>
  <c r="AE12" i="11" s="1"/>
  <c r="AD13" i="11"/>
  <c r="E72" i="11"/>
  <c r="E73" i="11" s="1"/>
  <c r="AJ60" i="10"/>
  <c r="AJ64" i="10"/>
  <c r="AJ80" i="10" s="1"/>
  <c r="AJ83" i="10" s="1"/>
  <c r="AJ84" i="10" s="1"/>
  <c r="AJ52" i="10"/>
  <c r="AJ70" i="10" s="1"/>
  <c r="AJ71" i="10" s="1"/>
  <c r="AJ61" i="10"/>
  <c r="AH64" i="10"/>
  <c r="AH80" i="10" s="1"/>
  <c r="AH83" i="10" s="1"/>
  <c r="AH84" i="10" s="1"/>
  <c r="AH60" i="10"/>
  <c r="AH52" i="10"/>
  <c r="AH70" i="10" s="1"/>
  <c r="AH71" i="10" s="1"/>
  <c r="AH61" i="10"/>
  <c r="AI60" i="10"/>
  <c r="AI52" i="10"/>
  <c r="AI70" i="10" s="1"/>
  <c r="AI71" i="10" s="1"/>
  <c r="AI64" i="10"/>
  <c r="AI80" i="10" s="1"/>
  <c r="AI83" i="10" s="1"/>
  <c r="AI84" i="10" s="1"/>
  <c r="AI61" i="10"/>
  <c r="AD64" i="10"/>
  <c r="AD80" i="10" s="1"/>
  <c r="AD83" i="10" s="1"/>
  <c r="AD84" i="10" s="1"/>
  <c r="AD61" i="10"/>
  <c r="AD52" i="10"/>
  <c r="AD70" i="10" s="1"/>
  <c r="AD71" i="10" s="1"/>
  <c r="AD60" i="10"/>
  <c r="AE60" i="10"/>
  <c r="AE52" i="10"/>
  <c r="AE70" i="10" s="1"/>
  <c r="AE71" i="10" s="1"/>
  <c r="AE61" i="10"/>
  <c r="AE64" i="10"/>
  <c r="AE80" i="10" s="1"/>
  <c r="AE83" i="10" s="1"/>
  <c r="AE84" i="10" s="1"/>
  <c r="J72" i="10"/>
  <c r="J73" i="10" s="1"/>
  <c r="K64" i="10"/>
  <c r="K80" i="10" s="1"/>
  <c r="K83" i="10" s="1"/>
  <c r="K84" i="10" s="1"/>
  <c r="AF60" i="10"/>
  <c r="AF52" i="10"/>
  <c r="AF70" i="10" s="1"/>
  <c r="AF71" i="10" s="1"/>
  <c r="AF61" i="10"/>
  <c r="AF64" i="10"/>
  <c r="AF80" i="10" s="1"/>
  <c r="AF83" i="10" s="1"/>
  <c r="AF84" i="10" s="1"/>
  <c r="K52" i="10"/>
  <c r="K70" i="10" s="1"/>
  <c r="K71" i="10" s="1"/>
  <c r="K61" i="10"/>
  <c r="K72" i="10" s="1"/>
  <c r="K73" i="10" s="1"/>
  <c r="Z72" i="10"/>
  <c r="Z73" i="10" s="1"/>
  <c r="V61" i="10"/>
  <c r="V60" i="10"/>
  <c r="V52" i="10"/>
  <c r="V70" i="10" s="1"/>
  <c r="V71" i="10" s="1"/>
  <c r="V64" i="10"/>
  <c r="V80" i="10" s="1"/>
  <c r="V83" i="10" s="1"/>
  <c r="V84" i="10" s="1"/>
  <c r="Q64" i="10"/>
  <c r="Q80" i="10" s="1"/>
  <c r="Q83" i="10" s="1"/>
  <c r="Q84" i="10" s="1"/>
  <c r="L61" i="10"/>
  <c r="L72" i="10" s="1"/>
  <c r="L73" i="10" s="1"/>
  <c r="L52" i="10"/>
  <c r="L70" i="10" s="1"/>
  <c r="L71" i="10" s="1"/>
  <c r="R52" i="10"/>
  <c r="R70" i="10" s="1"/>
  <c r="R71" i="10" s="1"/>
  <c r="L64" i="10"/>
  <c r="L80" i="10" s="1"/>
  <c r="L83" i="10" s="1"/>
  <c r="L84" i="10" s="1"/>
  <c r="U61" i="10"/>
  <c r="U60" i="10"/>
  <c r="U64" i="10"/>
  <c r="U80" i="10" s="1"/>
  <c r="U83" i="10" s="1"/>
  <c r="U84" i="10" s="1"/>
  <c r="U52" i="10"/>
  <c r="U70" i="10" s="1"/>
  <c r="U71" i="10" s="1"/>
  <c r="W64" i="10"/>
  <c r="W80" i="10" s="1"/>
  <c r="W83" i="10" s="1"/>
  <c r="W84" i="10" s="1"/>
  <c r="W60" i="10"/>
  <c r="W52" i="10"/>
  <c r="W70" i="10" s="1"/>
  <c r="W71" i="10" s="1"/>
  <c r="W61" i="10"/>
  <c r="E61" i="10"/>
  <c r="E64" i="10"/>
  <c r="E80" i="10" s="1"/>
  <c r="E83" i="10" s="1"/>
  <c r="E84" i="10" s="1"/>
  <c r="X61" i="10"/>
  <c r="X60" i="10"/>
  <c r="X72" i="10" s="1"/>
  <c r="X73" i="10" s="1"/>
  <c r="X64" i="10"/>
  <c r="X80" i="10" s="1"/>
  <c r="X83" i="10" s="1"/>
  <c r="X84" i="10" s="1"/>
  <c r="X52" i="10"/>
  <c r="X70" i="10" s="1"/>
  <c r="X71" i="10" s="1"/>
  <c r="H60" i="10"/>
  <c r="H52" i="10"/>
  <c r="H70" i="10" s="1"/>
  <c r="H71" i="10" s="1"/>
  <c r="H61" i="10"/>
  <c r="H64" i="10"/>
  <c r="H80" i="10" s="1"/>
  <c r="H83" i="10" s="1"/>
  <c r="H84" i="10" s="1"/>
  <c r="Q60" i="10"/>
  <c r="F45" i="10"/>
  <c r="F46" i="10" s="1"/>
  <c r="F47" i="10" s="1"/>
  <c r="F48" i="10" s="1"/>
  <c r="Y52" i="10"/>
  <c r="Y70" i="10" s="1"/>
  <c r="Y71" i="10" s="1"/>
  <c r="Y64" i="10"/>
  <c r="Y80" i="10" s="1"/>
  <c r="Y83" i="10" s="1"/>
  <c r="Y84" i="10" s="1"/>
  <c r="Y61" i="10"/>
  <c r="Y60" i="10"/>
  <c r="Y72" i="10" s="1"/>
  <c r="Y73" i="10" s="1"/>
  <c r="Q61" i="10"/>
  <c r="Q72" i="10" s="1"/>
  <c r="Q73" i="10" s="1"/>
  <c r="R61" i="10"/>
  <c r="R72" i="10" s="1"/>
  <c r="R73" i="10" s="1"/>
  <c r="AB60" i="10"/>
  <c r="AB61" i="10"/>
  <c r="AB64" i="10"/>
  <c r="AB80" i="10" s="1"/>
  <c r="AB83" i="10" s="1"/>
  <c r="AB84" i="10" s="1"/>
  <c r="AB52" i="10"/>
  <c r="AB70" i="10" s="1"/>
  <c r="AB71" i="10" s="1"/>
  <c r="R64" i="10"/>
  <c r="R80" i="10" s="1"/>
  <c r="R83" i="10" s="1"/>
  <c r="R84" i="10" s="1"/>
  <c r="Q70" i="10"/>
  <c r="Q71" i="10" s="1"/>
  <c r="G45" i="10"/>
  <c r="G46" i="10" s="1"/>
  <c r="G47" i="10" s="1"/>
  <c r="G48" i="10" s="1"/>
  <c r="F52" i="9"/>
  <c r="F70" i="9" s="1"/>
  <c r="F71" i="9" s="1"/>
  <c r="M72" i="9"/>
  <c r="F61" i="9"/>
  <c r="F64" i="9"/>
  <c r="F90" i="9" s="1"/>
  <c r="F93" i="9" s="1"/>
  <c r="F94" i="9" s="1"/>
  <c r="N61" i="9"/>
  <c r="F60" i="9"/>
  <c r="K72" i="9"/>
  <c r="Q72" i="9"/>
  <c r="R72" i="9"/>
  <c r="E74" i="9"/>
  <c r="E75" i="9" s="1"/>
  <c r="H72" i="9"/>
  <c r="U93" i="9"/>
  <c r="U94" i="9" s="1"/>
  <c r="V60" i="9"/>
  <c r="V64" i="9"/>
  <c r="V90" i="9" s="1"/>
  <c r="V93" i="9" s="1"/>
  <c r="V94" i="9" s="1"/>
  <c r="V61" i="9"/>
  <c r="V52" i="9"/>
  <c r="V70" i="9" s="1"/>
  <c r="V71" i="9" s="1"/>
  <c r="Z72" i="9"/>
  <c r="U72" i="9"/>
  <c r="I72" i="9"/>
  <c r="I84" i="9" s="1"/>
  <c r="W61" i="9"/>
  <c r="P61" i="9"/>
  <c r="S52" i="9"/>
  <c r="S70" i="9" s="1"/>
  <c r="S71" i="9" s="1"/>
  <c r="S60" i="9"/>
  <c r="S64" i="9"/>
  <c r="S90" i="9" s="1"/>
  <c r="S93" i="9" s="1"/>
  <c r="S94" i="9" s="1"/>
  <c r="T60" i="9"/>
  <c r="T64" i="9"/>
  <c r="T90" i="9" s="1"/>
  <c r="T93" i="9" s="1"/>
  <c r="T94" i="9" s="1"/>
  <c r="T52" i="9"/>
  <c r="T70" i="9" s="1"/>
  <c r="T71" i="9" s="1"/>
  <c r="T61" i="9"/>
  <c r="X64" i="9"/>
  <c r="X90" i="9" s="1"/>
  <c r="X93" i="9" s="1"/>
  <c r="X94" i="9" s="1"/>
  <c r="X52" i="9"/>
  <c r="X70" i="9" s="1"/>
  <c r="X71" i="9" s="1"/>
  <c r="X60" i="9"/>
  <c r="E60" i="9"/>
  <c r="E64" i="9"/>
  <c r="E90" i="9" s="1"/>
  <c r="E93" i="9" s="1"/>
  <c r="E94" i="9" s="1"/>
  <c r="E52" i="9"/>
  <c r="E70" i="9" s="1"/>
  <c r="E71" i="9" s="1"/>
  <c r="O72" i="9"/>
  <c r="P60" i="9"/>
  <c r="P52" i="9"/>
  <c r="P70" i="9" s="1"/>
  <c r="P71" i="9" s="1"/>
  <c r="P64" i="9"/>
  <c r="P90" i="9" s="1"/>
  <c r="P93" i="9" s="1"/>
  <c r="P94" i="9" s="1"/>
  <c r="J72" i="9"/>
  <c r="S61" i="9"/>
  <c r="X61" i="9"/>
  <c r="E61" i="9"/>
  <c r="W64" i="9"/>
  <c r="W90" i="9" s="1"/>
  <c r="W93" i="9" s="1"/>
  <c r="W94" i="9" s="1"/>
  <c r="W52" i="9"/>
  <c r="W70" i="9" s="1"/>
  <c r="W71" i="9" s="1"/>
  <c r="W60" i="9"/>
  <c r="AF93" i="9"/>
  <c r="AF94" i="9" s="1"/>
  <c r="S52" i="10"/>
  <c r="S70" i="10" s="1"/>
  <c r="S71" i="10" s="1"/>
  <c r="S64" i="10"/>
  <c r="S80" i="10" s="1"/>
  <c r="S83" i="10" s="1"/>
  <c r="S84" i="10" s="1"/>
  <c r="S60" i="10"/>
  <c r="S61" i="10"/>
  <c r="T61" i="10"/>
  <c r="T64" i="10"/>
  <c r="T80" i="10" s="1"/>
  <c r="T83" i="10" s="1"/>
  <c r="T84" i="10" s="1"/>
  <c r="T52" i="10"/>
  <c r="T70" i="10" s="1"/>
  <c r="T71" i="10" s="1"/>
  <c r="T60" i="10"/>
  <c r="O64" i="10"/>
  <c r="O80" i="10" s="1"/>
  <c r="O83" i="10" s="1"/>
  <c r="O84" i="10" s="1"/>
  <c r="O61" i="10"/>
  <c r="O60" i="10"/>
  <c r="O72" i="10" s="1"/>
  <c r="O73" i="10" s="1"/>
  <c r="O52" i="10"/>
  <c r="O70" i="10" s="1"/>
  <c r="O71" i="10" s="1"/>
  <c r="P64" i="10"/>
  <c r="P80" i="10" s="1"/>
  <c r="P83" i="10" s="1"/>
  <c r="P84" i="10" s="1"/>
  <c r="P52" i="10"/>
  <c r="P70" i="10" s="1"/>
  <c r="P71" i="10" s="1"/>
  <c r="P60" i="10"/>
  <c r="P61" i="10"/>
  <c r="P72" i="10" s="1"/>
  <c r="P73" i="10" s="1"/>
  <c r="N61" i="10"/>
  <c r="N52" i="10"/>
  <c r="N70" i="10" s="1"/>
  <c r="N71" i="10" s="1"/>
  <c r="N64" i="10"/>
  <c r="N80" i="10" s="1"/>
  <c r="N83" i="10" s="1"/>
  <c r="N84" i="10" s="1"/>
  <c r="N60" i="10"/>
  <c r="M61" i="10"/>
  <c r="M64" i="10"/>
  <c r="M80" i="10" s="1"/>
  <c r="M83" i="10" s="1"/>
  <c r="M84" i="10" s="1"/>
  <c r="M52" i="10"/>
  <c r="M70" i="10" s="1"/>
  <c r="M71" i="10" s="1"/>
  <c r="M60" i="10"/>
  <c r="I52" i="10"/>
  <c r="I70" i="10" s="1"/>
  <c r="I71" i="10" s="1"/>
  <c r="I61" i="10"/>
  <c r="I60" i="10"/>
  <c r="I72" i="10" s="1"/>
  <c r="I73" i="10" s="1"/>
  <c r="I64" i="10"/>
  <c r="I80" i="10" s="1"/>
  <c r="I83" i="10" s="1"/>
  <c r="I84" i="10" s="1"/>
  <c r="E60" i="10"/>
  <c r="E72" i="10" s="1"/>
  <c r="E73" i="10" s="1"/>
  <c r="E52" i="10"/>
  <c r="E70" i="10" s="1"/>
  <c r="E71" i="10" s="1"/>
  <c r="R93" i="9"/>
  <c r="R94" i="9" s="1"/>
  <c r="AE93" i="9"/>
  <c r="AE94" i="9" s="1"/>
  <c r="AA93" i="9"/>
  <c r="AA94" i="9" s="1"/>
  <c r="O93" i="9"/>
  <c r="O94" i="9" s="1"/>
  <c r="Q93" i="9"/>
  <c r="Q94" i="9" s="1"/>
  <c r="I35" i="2" a="1"/>
  <c r="I35" i="2" s="1"/>
  <c r="F43" i="2" a="1"/>
  <c r="F43" i="2" s="1"/>
  <c r="H43" i="2" s="1" a="1"/>
  <c r="H43" i="2" s="1"/>
  <c r="L102" i="2" a="1"/>
  <c r="L102" i="2" s="1"/>
  <c r="L103" i="2" s="1"/>
  <c r="K105" i="2" a="1"/>
  <c r="K105" i="2" s="1"/>
  <c r="L105" i="2" s="1" a="1"/>
  <c r="L105" i="2" s="1"/>
  <c r="F110" i="2" a="1"/>
  <c r="F110" i="2" s="1"/>
  <c r="H110" i="2" s="1" a="1"/>
  <c r="H110" i="2" s="1"/>
  <c r="G102" i="2" a="1"/>
  <c r="G102" i="2" s="1"/>
  <c r="G103" i="2" s="1"/>
  <c r="G110" i="2" s="1" a="1"/>
  <c r="G110" i="2" s="1"/>
  <c r="G111" i="2" s="1"/>
  <c r="K37" i="2"/>
  <c r="G35" i="2" a="1"/>
  <c r="G35" i="2" s="1"/>
  <c r="G36" i="2" s="1"/>
  <c r="G43" i="2" a="1"/>
  <c r="G43" i="2" s="1"/>
  <c r="G44" i="2" s="1"/>
  <c r="I43" i="2" a="1"/>
  <c r="I43" i="2" s="1"/>
  <c r="L35" i="2" a="1"/>
  <c r="L35" i="2" s="1"/>
  <c r="L36" i="2" s="1"/>
  <c r="N35" i="2" a="1"/>
  <c r="N35" i="2" s="1"/>
  <c r="M35" i="2" a="1"/>
  <c r="M35" i="2" s="1"/>
  <c r="M72" i="10" l="1"/>
  <c r="M73" i="10" s="1"/>
  <c r="Z81" i="9"/>
  <c r="F80" i="9"/>
  <c r="F81" i="9" s="1"/>
  <c r="X72" i="9"/>
  <c r="X73" i="9" s="1"/>
  <c r="AH83" i="9"/>
  <c r="AH85" i="9" s="1"/>
  <c r="AH84" i="9"/>
  <c r="AB84" i="9"/>
  <c r="AH81" i="9"/>
  <c r="F78" i="9"/>
  <c r="F79" i="9" s="1"/>
  <c r="AE82" i="9"/>
  <c r="AE83" i="9" s="1"/>
  <c r="AE81" i="9"/>
  <c r="X81" i="9"/>
  <c r="X82" i="9"/>
  <c r="X83" i="9" s="1"/>
  <c r="K84" i="9"/>
  <c r="Q82" i="9"/>
  <c r="Q83" i="9" s="1"/>
  <c r="Q81" i="9"/>
  <c r="AI82" i="9"/>
  <c r="AI83" i="9" s="1"/>
  <c r="AI81" i="9"/>
  <c r="F82" i="9"/>
  <c r="F83" i="9" s="1"/>
  <c r="AG82" i="9"/>
  <c r="AG83" i="9" s="1"/>
  <c r="AG81" i="9"/>
  <c r="N72" i="9"/>
  <c r="T81" i="9"/>
  <c r="T82" i="9"/>
  <c r="T83" i="9" s="1"/>
  <c r="AF73" i="9"/>
  <c r="AF85" i="9" s="1"/>
  <c r="Z73" i="9"/>
  <c r="Z85" i="9" s="1"/>
  <c r="Z84" i="9"/>
  <c r="AI73" i="9"/>
  <c r="AA82" i="9"/>
  <c r="AA81" i="9"/>
  <c r="W75" i="9"/>
  <c r="W80" i="9"/>
  <c r="W78" i="9"/>
  <c r="W79" i="9" s="1"/>
  <c r="U82" i="9"/>
  <c r="U83" i="9" s="1"/>
  <c r="U81" i="9"/>
  <c r="P75" i="9"/>
  <c r="P80" i="9"/>
  <c r="P78" i="9"/>
  <c r="P79" i="9" s="1"/>
  <c r="J82" i="9"/>
  <c r="J83" i="9" s="1"/>
  <c r="J81" i="9"/>
  <c r="AF81" i="9"/>
  <c r="AF82" i="9"/>
  <c r="AF83" i="9" s="1"/>
  <c r="N78" i="9"/>
  <c r="N79" i="9" s="1"/>
  <c r="N75" i="9"/>
  <c r="N80" i="9"/>
  <c r="O82" i="9"/>
  <c r="O83" i="9" s="1"/>
  <c r="O81" i="9"/>
  <c r="AD80" i="9"/>
  <c r="AD78" i="9"/>
  <c r="AD79" i="9" s="1"/>
  <c r="M81" i="9"/>
  <c r="M82" i="9"/>
  <c r="M83" i="9" s="1"/>
  <c r="AE73" i="9"/>
  <c r="H81" i="9"/>
  <c r="H82" i="9"/>
  <c r="H83" i="9" s="1"/>
  <c r="R81" i="9"/>
  <c r="R82" i="9"/>
  <c r="R83" i="9" s="1"/>
  <c r="G82" i="9"/>
  <c r="G83" i="9" s="1"/>
  <c r="G85" i="9" s="1"/>
  <c r="G81" i="9"/>
  <c r="V81" i="9"/>
  <c r="V82" i="9"/>
  <c r="V83" i="9" s="1"/>
  <c r="AG73" i="9"/>
  <c r="AG85" i="9" s="1"/>
  <c r="S75" i="9"/>
  <c r="S78" i="9"/>
  <c r="S79" i="9" s="1"/>
  <c r="S80" i="9"/>
  <c r="AD72" i="9"/>
  <c r="K81" i="9"/>
  <c r="K82" i="9"/>
  <c r="K83" i="9" s="1"/>
  <c r="R73" i="9"/>
  <c r="Q73" i="9"/>
  <c r="O73" i="9"/>
  <c r="U73" i="9"/>
  <c r="H73" i="9"/>
  <c r="I73" i="9"/>
  <c r="I85" i="9" s="1"/>
  <c r="M73" i="9"/>
  <c r="M85" i="9" s="1"/>
  <c r="K73" i="9"/>
  <c r="K85" i="9" s="1"/>
  <c r="L73" i="9"/>
  <c r="L85" i="9" s="1"/>
  <c r="J73" i="9"/>
  <c r="S4" i="11"/>
  <c r="V4" i="11"/>
  <c r="O4" i="11"/>
  <c r="P4" i="11" s="1"/>
  <c r="AE13" i="11"/>
  <c r="AE14" i="11" s="1"/>
  <c r="AE15" i="11" s="1"/>
  <c r="AE16" i="11" s="1"/>
  <c r="AE17" i="11" s="1"/>
  <c r="AE18" i="11" s="1"/>
  <c r="AE19" i="11" s="1"/>
  <c r="AE20" i="11" s="1"/>
  <c r="AE21" i="11" s="1"/>
  <c r="AE22" i="11" s="1"/>
  <c r="AE23" i="11" s="1"/>
  <c r="AE24" i="11" s="1"/>
  <c r="AE25" i="11" s="1"/>
  <c r="AE26" i="11" s="1"/>
  <c r="AE27" i="11" s="1"/>
  <c r="AE28" i="11" s="1"/>
  <c r="AE29" i="11" s="1"/>
  <c r="AE30" i="11" s="1"/>
  <c r="AE31" i="11" s="1"/>
  <c r="AE32" i="11" s="1"/>
  <c r="AE33" i="11" s="1"/>
  <c r="AE34" i="11" s="1"/>
  <c r="AE35" i="11" s="1"/>
  <c r="AE36" i="11" s="1"/>
  <c r="AE37" i="11" s="1"/>
  <c r="AE38" i="11" s="1"/>
  <c r="AE39" i="11" s="1"/>
  <c r="AE40" i="11" s="1"/>
  <c r="AE41" i="11" s="1"/>
  <c r="AE42" i="11" s="1"/>
  <c r="AE43" i="11" s="1"/>
  <c r="AE44" i="11" s="1"/>
  <c r="AE45" i="11" s="1"/>
  <c r="AE46" i="11" s="1"/>
  <c r="AE47" i="11" s="1"/>
  <c r="AE48" i="11" s="1"/>
  <c r="AE49" i="11" s="1"/>
  <c r="AE50" i="11" s="1"/>
  <c r="AE51" i="11" s="1"/>
  <c r="AE52" i="11" s="1"/>
  <c r="AE53" i="11" s="1"/>
  <c r="AE54" i="11" s="1"/>
  <c r="AE55" i="11" s="1"/>
  <c r="AE56" i="11" s="1"/>
  <c r="AE57" i="11" s="1"/>
  <c r="AE58" i="11" s="1"/>
  <c r="AE59" i="11" s="1"/>
  <c r="AE60" i="11" s="1"/>
  <c r="AE61" i="11" s="1"/>
  <c r="AE62" i="11" s="1"/>
  <c r="AE63" i="11" s="1"/>
  <c r="AE64" i="11" s="1"/>
  <c r="V72" i="10"/>
  <c r="V73" i="10" s="1"/>
  <c r="AH72" i="10"/>
  <c r="AH73" i="10" s="1"/>
  <c r="AD72" i="10"/>
  <c r="AD73" i="10" s="1"/>
  <c r="AI72" i="10"/>
  <c r="AI73" i="10" s="1"/>
  <c r="AJ72" i="10"/>
  <c r="AJ73" i="10" s="1"/>
  <c r="AF72" i="10"/>
  <c r="AF73" i="10" s="1"/>
  <c r="AE72" i="10"/>
  <c r="AE73" i="10" s="1"/>
  <c r="U72" i="10"/>
  <c r="U73" i="10" s="1"/>
  <c r="T72" i="10"/>
  <c r="T73" i="10" s="1"/>
  <c r="G52" i="10"/>
  <c r="G70" i="10" s="1"/>
  <c r="G71" i="10" s="1"/>
  <c r="G64" i="10"/>
  <c r="G80" i="10" s="1"/>
  <c r="G83" i="10" s="1"/>
  <c r="G84" i="10" s="1"/>
  <c r="G60" i="10"/>
  <c r="G61" i="10"/>
  <c r="F52" i="10"/>
  <c r="F70" i="10" s="1"/>
  <c r="F71" i="10" s="1"/>
  <c r="F60" i="10"/>
  <c r="F64" i="10"/>
  <c r="F80" i="10" s="1"/>
  <c r="F83" i="10" s="1"/>
  <c r="F84" i="10" s="1"/>
  <c r="F61" i="10"/>
  <c r="N72" i="10"/>
  <c r="N73" i="10" s="1"/>
  <c r="W72" i="10"/>
  <c r="W73" i="10" s="1"/>
  <c r="H72" i="10"/>
  <c r="H73" i="10" s="1"/>
  <c r="AB72" i="10"/>
  <c r="AB73" i="10" s="1"/>
  <c r="F72" i="9"/>
  <c r="E78" i="9"/>
  <c r="E79" i="9" s="1"/>
  <c r="E80" i="9"/>
  <c r="E82" i="9" s="1"/>
  <c r="W72" i="9"/>
  <c r="E72" i="9"/>
  <c r="T72" i="9"/>
  <c r="S72" i="9"/>
  <c r="V72" i="9"/>
  <c r="P72" i="9"/>
  <c r="S72" i="10"/>
  <c r="S73" i="10" s="1"/>
  <c r="N105" i="2" a="1"/>
  <c r="N105" i="2" s="1"/>
  <c r="M105" i="2" a="1"/>
  <c r="M105" i="2" s="1"/>
  <c r="L110" i="2" a="1"/>
  <c r="L110" i="2" s="1"/>
  <c r="L111" i="2" s="1"/>
  <c r="I110" i="2" a="1"/>
  <c r="I110" i="2" s="1"/>
  <c r="K41" i="2"/>
  <c r="K42" i="2"/>
  <c r="K40" i="2"/>
  <c r="K39" i="2"/>
  <c r="K43" i="2" a="1"/>
  <c r="K43" i="2" s="1"/>
  <c r="M43" i="2" s="1" a="1"/>
  <c r="M43" i="2" s="1"/>
  <c r="AF84" i="9" l="1"/>
  <c r="R85" i="9"/>
  <c r="X84" i="9"/>
  <c r="AE84" i="9"/>
  <c r="H84" i="9"/>
  <c r="F84" i="9"/>
  <c r="AE85" i="9"/>
  <c r="X85" i="9"/>
  <c r="AI85" i="9"/>
  <c r="J84" i="9"/>
  <c r="O85" i="9"/>
  <c r="V84" i="9"/>
  <c r="M84" i="9"/>
  <c r="T84" i="9"/>
  <c r="J85" i="9"/>
  <c r="P82" i="9"/>
  <c r="P83" i="9" s="1"/>
  <c r="P81" i="9"/>
  <c r="AD82" i="9"/>
  <c r="AD83" i="9" s="1"/>
  <c r="AD81" i="9"/>
  <c r="Q85" i="9"/>
  <c r="O84" i="9"/>
  <c r="G84" i="9"/>
  <c r="W81" i="9"/>
  <c r="W82" i="9"/>
  <c r="W83" i="9" s="1"/>
  <c r="AD73" i="9"/>
  <c r="N81" i="9"/>
  <c r="N82" i="9"/>
  <c r="N83" i="9" s="1"/>
  <c r="U84" i="9"/>
  <c r="N73" i="9"/>
  <c r="S81" i="9"/>
  <c r="S82" i="9"/>
  <c r="S83" i="9" s="1"/>
  <c r="AA83" i="9"/>
  <c r="AA85" i="9" s="1"/>
  <c r="AA84" i="9"/>
  <c r="Q84" i="9"/>
  <c r="AI84" i="9"/>
  <c r="H85" i="9"/>
  <c r="U85" i="9"/>
  <c r="AG84" i="9"/>
  <c r="R84" i="9"/>
  <c r="P73" i="9"/>
  <c r="V73" i="9"/>
  <c r="V85" i="9" s="1"/>
  <c r="S73" i="9"/>
  <c r="T73" i="9"/>
  <c r="T85" i="9" s="1"/>
  <c r="W73" i="9"/>
  <c r="F73" i="9"/>
  <c r="F85" i="9" s="1"/>
  <c r="E73" i="9"/>
  <c r="E84" i="9"/>
  <c r="Q4" i="11"/>
  <c r="R4" i="11" s="1"/>
  <c r="F2" i="11"/>
  <c r="AE1" i="11"/>
  <c r="F72" i="10"/>
  <c r="F73" i="10" s="1"/>
  <c r="G72" i="10"/>
  <c r="G73" i="10" s="1"/>
  <c r="E83" i="9"/>
  <c r="E81" i="9"/>
  <c r="L43" i="2" a="1"/>
  <c r="L43" i="2" s="1"/>
  <c r="L44" i="2" s="1"/>
  <c r="K38" i="2" a="1"/>
  <c r="K38" i="2" s="1"/>
  <c r="M38" i="2" s="1" a="1"/>
  <c r="M38" i="2" s="1"/>
  <c r="N43" i="2" a="1"/>
  <c r="N43" i="2" s="1"/>
  <c r="W85" i="9" l="1"/>
  <c r="P85" i="9"/>
  <c r="AD85" i="9"/>
  <c r="W84" i="9"/>
  <c r="S85" i="9"/>
  <c r="S84" i="9"/>
  <c r="N85" i="9"/>
  <c r="AD84" i="9"/>
  <c r="N84" i="9"/>
  <c r="P84" i="9"/>
  <c r="E85" i="9"/>
  <c r="Z4" i="11"/>
  <c r="U4" i="11"/>
  <c r="T4" i="11"/>
  <c r="W4" i="11" s="1"/>
  <c r="N38" i="2" a="1"/>
  <c r="N38" i="2" s="1"/>
  <c r="L38" i="2" a="1"/>
  <c r="L38" i="2" s="1"/>
  <c r="AC4" i="11" l="1"/>
  <c r="Y4" i="11"/>
  <c r="X4" i="11"/>
  <c r="AA4" i="11" s="1"/>
  <c r="AB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tc={8B4EAA37-4F6E-4683-ACD1-08FB04C43455}</author>
    <author>tc={5708C348-F652-4EAB-8E0D-527E2A999635}</author>
  </authors>
  <commentList>
    <comment ref="C3" authorId="0" shapeId="0" xr:uid="{8B4EAA37-4F6E-4683-ACD1-08FB04C43455}">
      <text>
        <t>[Threaded comment]
Your version of Excel allows you to read this threaded comment; however, any edits to it will get removed if the file is opened in a newer version of Excel. Learn more: https://go.microsoft.com/fwlink/?linkid=870924
Comment:
    나중에 CLmax도 range 설정할 수 있게 수정하자</t>
      </text>
    </comment>
    <comment ref="E10" authorId="1" shapeId="0" xr:uid="{5708C348-F652-4EAB-8E0D-527E2A999635}">
      <text>
        <t>[Threaded comment]
Your version of Excel allows you to read this threaded comment; however, any edits to it will get removed if the file is opened in a newer version of Excel. Learn more: https://go.microsoft.com/fwlink/?linkid=870924
Comment:
    Alt_Ft 읽어서 자동으로 계산되도록 수정필요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<sst xmlns="http://schemas.openxmlformats.org/spreadsheetml/2006/main" count="1464" uniqueCount="433">
  <si>
    <t>Design requirements</t>
  </si>
  <si>
    <t>acceleration</t>
  </si>
  <si>
    <t>turn rate</t>
  </si>
  <si>
    <t>max cruise speed</t>
  </si>
  <si>
    <t>climb rate</t>
  </si>
  <si>
    <t>time to climb to some altitude</t>
  </si>
  <si>
    <t>manuevering</t>
  </si>
  <si>
    <t>Stall speed sizing</t>
  </si>
  <si>
    <t>CLmax</t>
  </si>
  <si>
    <t>kts</t>
  </si>
  <si>
    <t>kg</t>
  </si>
  <si>
    <t>lbs</t>
  </si>
  <si>
    <t>Payload</t>
  </si>
  <si>
    <t>Range</t>
  </si>
  <si>
    <t>nm</t>
  </si>
  <si>
    <t>km</t>
  </si>
  <si>
    <t>CLmax_TO</t>
  </si>
  <si>
    <t>kg/m^3</t>
  </si>
  <si>
    <t>-</t>
  </si>
  <si>
    <t>m/s</t>
  </si>
  <si>
    <t>WL_TO (flaps down)</t>
  </si>
  <si>
    <t>WL_TO (flaps up)</t>
  </si>
  <si>
    <t>psf</t>
  </si>
  <si>
    <t>Stall speed (flaps up)</t>
  </si>
  <si>
    <t>Stall speed (flaps down)</t>
  </si>
  <si>
    <t>Vs0</t>
    <phoneticPr fontId="2" type="noConversion"/>
  </si>
  <si>
    <t>Vs1</t>
    <phoneticPr fontId="2" type="noConversion"/>
  </si>
  <si>
    <t>m/s</t>
    <phoneticPr fontId="2" type="noConversion"/>
  </si>
  <si>
    <t>kts</t>
    <phoneticPr fontId="2" type="noConversion"/>
  </si>
  <si>
    <t>Take-off distance sizing</t>
    <phoneticPr fontId="2" type="noConversion"/>
  </si>
  <si>
    <t>m</t>
    <phoneticPr fontId="2" type="noConversion"/>
  </si>
  <si>
    <t>ft</t>
    <phoneticPr fontId="2" type="noConversion"/>
  </si>
  <si>
    <t>Takeoff field length</t>
    <phoneticPr fontId="2" type="noConversion"/>
  </si>
  <si>
    <t>Takeoff ground roll distance</t>
    <phoneticPr fontId="2" type="noConversion"/>
  </si>
  <si>
    <t>MGTOW</t>
    <phoneticPr fontId="2" type="noConversion"/>
  </si>
  <si>
    <t>MGLW</t>
    <phoneticPr fontId="2" type="noConversion"/>
  </si>
  <si>
    <t>kg</t>
    <phoneticPr fontId="2" type="noConversion"/>
  </si>
  <si>
    <t>lbs</t>
    <phoneticPr fontId="2" type="noConversion"/>
  </si>
  <si>
    <t>Wind limits - Headwind</t>
    <phoneticPr fontId="2" type="noConversion"/>
  </si>
  <si>
    <t>Wind limits - Crosswind</t>
    <phoneticPr fontId="2" type="noConversion"/>
  </si>
  <si>
    <t>Wind limits - Tailwind</t>
    <phoneticPr fontId="2" type="noConversion"/>
  </si>
  <si>
    <t>Wind limits - Gust spread</t>
    <phoneticPr fontId="2" type="noConversion"/>
  </si>
  <si>
    <t>V approach (with flaps in landing cofiguration)</t>
    <phoneticPr fontId="2" type="noConversion"/>
  </si>
  <si>
    <t>Max descent rate at touchdown</t>
    <phoneticPr fontId="2" type="noConversion"/>
  </si>
  <si>
    <t>ft/s</t>
    <phoneticPr fontId="2" type="noConversion"/>
  </si>
  <si>
    <t>L/W at touchdown</t>
    <phoneticPr fontId="2" type="noConversion"/>
  </si>
  <si>
    <t>Service ceiling (MSL, STD)</t>
    <phoneticPr fontId="2" type="noConversion"/>
  </si>
  <si>
    <t>Service ceiling: best rate of climb in steady un-acclerated flight no longer exceeds 100 ftpm</t>
    <phoneticPr fontId="2" type="noConversion"/>
  </si>
  <si>
    <t>Minimum operational altitude (T)</t>
    <phoneticPr fontId="2" type="noConversion"/>
  </si>
  <si>
    <t>Minimum operational altitude (O)</t>
    <phoneticPr fontId="2" type="noConversion"/>
  </si>
  <si>
    <t>Level horizontal speed (minimum) (T)</t>
    <phoneticPr fontId="2" type="noConversion"/>
  </si>
  <si>
    <t>Level horizontal speed (minimum) (O)</t>
    <phoneticPr fontId="2" type="noConversion"/>
  </si>
  <si>
    <t>in level flight between 5,000-20,000 ft pressure altitude in clean wing configuration</t>
    <phoneticPr fontId="2" type="noConversion"/>
  </si>
  <si>
    <t>Internal payload weight capacity (T)</t>
    <phoneticPr fontId="2" type="noConversion"/>
  </si>
  <si>
    <t>Internal payload weight capacity (O)</t>
    <phoneticPr fontId="2" type="noConversion"/>
  </si>
  <si>
    <t>Fuel capacity</t>
    <phoneticPr fontId="2" type="noConversion"/>
  </si>
  <si>
    <t>Engine</t>
    <phoneticPr fontId="2" type="noConversion"/>
  </si>
  <si>
    <t>Rolls Royce M250 (504HP)</t>
    <phoneticPr fontId="2" type="noConversion"/>
  </si>
  <si>
    <t>HP</t>
    <phoneticPr fontId="2" type="noConversion"/>
  </si>
  <si>
    <t>Dash speed</t>
    <phoneticPr fontId="2" type="noConversion"/>
  </si>
  <si>
    <t>N/m^2</t>
    <phoneticPr fontId="2" type="noConversion"/>
  </si>
  <si>
    <t>kgf/m^2</t>
    <phoneticPr fontId="2" type="noConversion"/>
  </si>
  <si>
    <t>W_TO</t>
    <phoneticPr fontId="2" type="noConversion"/>
  </si>
  <si>
    <t>V_TO</t>
    <phoneticPr fontId="2" type="noConversion"/>
  </si>
  <si>
    <t>rho</t>
    <phoneticPr fontId="2" type="noConversion"/>
  </si>
  <si>
    <t>Air density</t>
    <phoneticPr fontId="2" type="noConversion"/>
  </si>
  <si>
    <t>Stall speed with flaps down</t>
    <phoneticPr fontId="2" type="noConversion"/>
  </si>
  <si>
    <t>Stall speed with flaps up</t>
    <phoneticPr fontId="2" type="noConversion"/>
  </si>
  <si>
    <t>Take-off weight</t>
    <phoneticPr fontId="2" type="noConversion"/>
  </si>
  <si>
    <t>Take-off speed (Lift-off speed)</t>
    <phoneticPr fontId="2" type="noConversion"/>
  </si>
  <si>
    <t>Thrust-to-weight ratio at take-off</t>
    <phoneticPr fontId="2" type="noConversion"/>
  </si>
  <si>
    <t>TW_TO</t>
    <phoneticPr fontId="2" type="noConversion"/>
  </si>
  <si>
    <t>Weight-to-power ratio at take-off</t>
    <phoneticPr fontId="2" type="noConversion"/>
  </si>
  <si>
    <t>WP_TO</t>
    <phoneticPr fontId="2" type="noConversion"/>
  </si>
  <si>
    <t>Aerodynamic drag coefficient</t>
    <phoneticPr fontId="2" type="noConversion"/>
  </si>
  <si>
    <t>CD_G</t>
    <phoneticPr fontId="2" type="noConversion"/>
  </si>
  <si>
    <t>Ground friction coefficient</t>
    <phoneticPr fontId="2" type="noConversion"/>
  </si>
  <si>
    <t>mu_G</t>
    <phoneticPr fontId="2" type="noConversion"/>
  </si>
  <si>
    <t>TOP_23 (S_TOG)</t>
    <phoneticPr fontId="2" type="noConversion"/>
  </si>
  <si>
    <t>TOP_23 (S_TO)</t>
    <phoneticPr fontId="2" type="noConversion"/>
  </si>
  <si>
    <t>lbs^2/ft^2hp</t>
    <phoneticPr fontId="2" type="noConversion"/>
  </si>
  <si>
    <t>Take-off parameter for FAR 23 Airplane</t>
    <phoneticPr fontId="2" type="noConversion"/>
  </si>
  <si>
    <t>sigma</t>
    <phoneticPr fontId="2" type="noConversion"/>
  </si>
  <si>
    <t>Air density ratio? (5000ft)</t>
    <phoneticPr fontId="2" type="noConversion"/>
  </si>
  <si>
    <t>-</t>
    <phoneticPr fontId="2" type="noConversion"/>
  </si>
  <si>
    <t>WL_TO (psf)</t>
    <phoneticPr fontId="2" type="noConversion"/>
  </si>
  <si>
    <t>PL_TO (lbs/hp)</t>
    <phoneticPr fontId="2" type="noConversion"/>
  </si>
  <si>
    <t>Takeoff altitude</t>
    <phoneticPr fontId="2" type="noConversion"/>
  </si>
  <si>
    <t>Take-off parameter for FAR 25 Airplane</t>
    <phoneticPr fontId="2" type="noConversion"/>
  </si>
  <si>
    <t>CLmax_PA</t>
  </si>
  <si>
    <t>Maximum lift coefficient with flaps up (clean)</t>
  </si>
  <si>
    <t>Maximum lift coefficient for landing</t>
  </si>
  <si>
    <t>Maximum lift coefficient for takeoff</t>
  </si>
  <si>
    <t>Mojave STOL</t>
  </si>
  <si>
    <t>Ground / 1000 ft</t>
  </si>
  <si>
    <t>short field 12 kts (T) / 15 kts (O)
normal field 20 kts</t>
  </si>
  <si>
    <t xml:space="preserve">Vstall=57/1.1 for GNC analysis; </t>
  </si>
  <si>
    <t>nominal paved runway 2000 ft
semi-prepared field stol 1000 ft
maritime 520 ft</t>
  </si>
  <si>
    <t>Takeoff field length (takeoff 50ft obstacle clearance)</t>
  </si>
  <si>
    <t>landing ground roll distance</t>
  </si>
  <si>
    <t>ft</t>
  </si>
  <si>
    <t>nominal paved runway 1730 ftsemin-prepared field STOL 730 ft
maritime 270 ft</t>
  </si>
  <si>
    <t xml:space="preserve">landing field length (landing 50 ft obstacle clearance) </t>
  </si>
  <si>
    <t>Takeoff</t>
  </si>
  <si>
    <t>lb</t>
  </si>
  <si>
    <t>kn</t>
  </si>
  <si>
    <t>m</t>
  </si>
  <si>
    <t>K_A</t>
  </si>
  <si>
    <t>m/s2</t>
  </si>
  <si>
    <t>N</t>
  </si>
  <si>
    <t>kg/m3</t>
  </si>
  <si>
    <t>Wing Area</t>
  </si>
  <si>
    <t>m2</t>
  </si>
  <si>
    <t>S_w_m2</t>
  </si>
  <si>
    <t>S_w_ft2</t>
  </si>
  <si>
    <t>ft2</t>
  </si>
  <si>
    <t>V_TO_mps</t>
  </si>
  <si>
    <t>rho_kgpm3</t>
  </si>
  <si>
    <t>g_mps2</t>
  </si>
  <si>
    <t>degC</t>
  </si>
  <si>
    <t>Outside Air Temperature @ SL</t>
  </si>
  <si>
    <t>Altitude (ft MSL)</t>
  </si>
  <si>
    <t>h_TO_ft</t>
  </si>
  <si>
    <t>T_TO_degC</t>
  </si>
  <si>
    <t>Mass Porperties</t>
  </si>
  <si>
    <t>Aircraft Configuration</t>
  </si>
  <si>
    <t>Aileron Droop</t>
  </si>
  <si>
    <t>deg</t>
  </si>
  <si>
    <t>Flap</t>
  </si>
  <si>
    <t>dA</t>
  </si>
  <si>
    <t>dF</t>
  </si>
  <si>
    <t>V_TO_kn</t>
  </si>
  <si>
    <t>0.04 for Rolling Unbraked Firm Dirt</t>
  </si>
  <si>
    <t>lbf</t>
  </si>
  <si>
    <t>K_T</t>
  </si>
  <si>
    <t>Multiflier</t>
  </si>
  <si>
    <t>CDo</t>
  </si>
  <si>
    <t>Max CL</t>
  </si>
  <si>
    <t>Thurst</t>
  </si>
  <si>
    <t>K = 1 / (PI * e * AR)</t>
  </si>
  <si>
    <t>MAC_ft</t>
  </si>
  <si>
    <t>MAC_m</t>
  </si>
  <si>
    <t>Aspect Ratio</t>
  </si>
  <si>
    <t>AR</t>
  </si>
  <si>
    <t>Wing Span</t>
  </si>
  <si>
    <t>b_w_ft</t>
  </si>
  <si>
    <t>b_w_m</t>
  </si>
  <si>
    <t>CL_max</t>
  </si>
  <si>
    <t>CDO</t>
  </si>
  <si>
    <t>Gravitation Acceleration</t>
  </si>
  <si>
    <t>Rolling Coefficient</t>
  </si>
  <si>
    <t>Air Density</t>
  </si>
  <si>
    <t>Chord Length</t>
  </si>
  <si>
    <t>2.8 for aileron droop; 2.66 for no aileron</t>
  </si>
  <si>
    <t>CL</t>
  </si>
  <si>
    <t>CL_max*V_stall^2 = CL*(1.1*V_stall)^2; CL=CL_max/(1.1)^2</t>
  </si>
  <si>
    <t>Landing</t>
  </si>
  <si>
    <t>S_G_m</t>
  </si>
  <si>
    <t>S_G_ft</t>
  </si>
  <si>
    <t>Reverse Thrust</t>
  </si>
  <si>
    <t>TR_N</t>
  </si>
  <si>
    <t>T_lbf</t>
  </si>
  <si>
    <t>T_N</t>
  </si>
  <si>
    <t>Ground Roll Distance (Pamadi)</t>
  </si>
  <si>
    <t>Ground Roll Distance (Raymer)</t>
  </si>
  <si>
    <t>Taxi</t>
  </si>
  <si>
    <t>Climb</t>
  </si>
  <si>
    <t>Ingress</t>
  </si>
  <si>
    <t>Loiter</t>
  </si>
  <si>
    <t>Egress</t>
  </si>
  <si>
    <t>Descent</t>
  </si>
  <si>
    <t>Land</t>
  </si>
  <si>
    <t>K</t>
  </si>
  <si>
    <t>Notes</t>
  </si>
  <si>
    <t>MOJAVE STOL Aircraft</t>
  </si>
  <si>
    <t>Structure</t>
  </si>
  <si>
    <t>Wing</t>
  </si>
  <si>
    <t>Tail</t>
  </si>
  <si>
    <t>Fuselage</t>
  </si>
  <si>
    <t>Landing Gear</t>
  </si>
  <si>
    <t>Nose</t>
  </si>
  <si>
    <t>Main, RH</t>
  </si>
  <si>
    <t>Main, LH</t>
  </si>
  <si>
    <t>Propulsion</t>
  </si>
  <si>
    <t>Propulsion System</t>
  </si>
  <si>
    <t>Fuel System (dry)</t>
  </si>
  <si>
    <t>System &amp; Equipment</t>
  </si>
  <si>
    <t>Cables</t>
  </si>
  <si>
    <t>Avionics</t>
  </si>
  <si>
    <t>Air Data</t>
  </si>
  <si>
    <t>FWD Payload Bay</t>
  </si>
  <si>
    <t>FWD Avionics Bay</t>
  </si>
  <si>
    <t>AFT Avionics Bay</t>
  </si>
  <si>
    <t>Antennas</t>
  </si>
  <si>
    <t>Weight Empty</t>
  </si>
  <si>
    <t>Fixed Usefule Load</t>
  </si>
  <si>
    <t>Engine Oil</t>
  </si>
  <si>
    <t>Fixed Mission System Payloads</t>
  </si>
  <si>
    <t>Basic Weight</t>
  </si>
  <si>
    <t>AWI Fluid</t>
  </si>
  <si>
    <t>Operating Weight</t>
  </si>
  <si>
    <t>Unusable fuel</t>
  </si>
  <si>
    <t>Empty Fuel Weight</t>
  </si>
  <si>
    <t>Usable Fuel</t>
  </si>
  <si>
    <t>Gross Take-off Weight</t>
  </si>
  <si>
    <t>Weight, lb.</t>
  </si>
  <si>
    <t>Y CG
(in)</t>
  </si>
  <si>
    <t>X CG
(in)</t>
  </si>
  <si>
    <t>Z CG
(in)</t>
  </si>
  <si>
    <t>ARMY RSTA (Block 0)</t>
  </si>
  <si>
    <t>ROK RSTA (Block 0)</t>
  </si>
  <si>
    <t>Lv</t>
  </si>
  <si>
    <t>Fuselage fuel</t>
  </si>
  <si>
    <t>Wing fuel</t>
  </si>
  <si>
    <t>Fwd Fuselage Tank</t>
  </si>
  <si>
    <t>Aft Fuselage Tank</t>
  </si>
  <si>
    <t>Wing Fuel Tank</t>
  </si>
  <si>
    <t>Mid Fuselage (Header) Tank</t>
  </si>
  <si>
    <t>(Usable Fuel Estimate)</t>
  </si>
  <si>
    <t>Shift Aft</t>
  </si>
  <si>
    <t xml:space="preserve">Ballast     </t>
  </si>
  <si>
    <t>1594 lb</t>
  </si>
  <si>
    <t>1035 lb</t>
  </si>
  <si>
    <t>Fwd</t>
  </si>
  <si>
    <t>Mid</t>
  </si>
  <si>
    <t>Aft</t>
  </si>
  <si>
    <t>134.3 gallon</t>
  </si>
  <si>
    <t>68.3 gallon</t>
  </si>
  <si>
    <t>34.0 gallon</t>
  </si>
  <si>
    <t>PDR-05-01-2026-Gear-Down</t>
  </si>
  <si>
    <t>Rev-06-01-2026-Gear-Down</t>
  </si>
  <si>
    <t>First Flight - T1 (GD / PDR)</t>
  </si>
  <si>
    <t>First Flight - T1 (GD / Post-PDR)</t>
  </si>
  <si>
    <t>First Flight - T1 (GU / PDR)</t>
  </si>
  <si>
    <t>First Flight - T1 (GU / Post-PDR)</t>
  </si>
  <si>
    <t>e</t>
  </si>
  <si>
    <t>Oswald Efficiency</t>
  </si>
  <si>
    <t>S_G = 1/(2*g*K_A) * ln((K_T+K_A*Vf^2)/(K_T+K_A*Vi^2))</t>
  </si>
  <si>
    <t>S_G = W/(2*g)*V^2/(F_0-F_1) * ln(F_0/F_1)</t>
  </si>
  <si>
    <t>Induced Drag Factor</t>
  </si>
  <si>
    <t>Unbraked Rolling Coefficient</t>
  </si>
  <si>
    <t>Braked Rolling Coefficient</t>
  </si>
  <si>
    <t>mu_u</t>
  </si>
  <si>
    <t>mu_b</t>
  </si>
  <si>
    <t>Nominal Paved Runway</t>
  </si>
  <si>
    <t>Worst Case Paved Runway</t>
  </si>
  <si>
    <t>Semi-Prepared Field STOL</t>
  </si>
  <si>
    <t>Maritime (ROKN Dokdo)</t>
  </si>
  <si>
    <t>Baseline 52.2 kn</t>
  </si>
  <si>
    <t>Max Gross Takeoff Weight</t>
  </si>
  <si>
    <t>Max Gross Landing Weight</t>
  </si>
  <si>
    <t>0.04-0.06</t>
  </si>
  <si>
    <t>Stall Speed @ Takeoff</t>
  </si>
  <si>
    <t>Stall Speed @ Landing</t>
  </si>
  <si>
    <t>V_stall_TO_kn</t>
  </si>
  <si>
    <t>V_stall_TO_mps</t>
  </si>
  <si>
    <t>V_stall_L_kn</t>
  </si>
  <si>
    <t>V_stall_L_mps</t>
  </si>
  <si>
    <t>V_stall_TO_mps = sqrt (MGTOW_N/(0.5*rho_kgpm3*S_w_m2*CL))</t>
  </si>
  <si>
    <t>MGTOW_lb</t>
  </si>
  <si>
    <t>MGTOW_kg</t>
  </si>
  <si>
    <t>MGTOW_N</t>
  </si>
  <si>
    <t>MGLW_lb</t>
  </si>
  <si>
    <t>MGLW_kg</t>
  </si>
  <si>
    <t>MGLW_N</t>
  </si>
  <si>
    <t>Nominal 7,000 lb; Short 6,500 lb</t>
  </si>
  <si>
    <t>Nominal 6,500 lb; Short 5,900 lb</t>
  </si>
  <si>
    <t>Airspeed @ Takeoff</t>
  </si>
  <si>
    <t>V_stall_L_mps = sqrt (MGLW_N/(0.5*rho_kgpm3*S_w_m2*CL))</t>
  </si>
  <si>
    <t>V_TO_mps = 1.1 * V_stall_TO_mps</t>
  </si>
  <si>
    <t>V_L_kn</t>
  </si>
  <si>
    <t>V_L_mps</t>
  </si>
  <si>
    <t>V_L_mps = 1.1 * V_stall_L_mps</t>
  </si>
  <si>
    <t>Airspeed @ Landing</t>
  </si>
  <si>
    <t>Drag @ Takeoff</t>
  </si>
  <si>
    <t>Drag @ Landing</t>
  </si>
  <si>
    <t>D_TO_N</t>
  </si>
  <si>
    <t>D_L_N</t>
  </si>
  <si>
    <t>Initial Speed @ Takeoff</t>
  </si>
  <si>
    <t>Final Speed @ Takeoff</t>
  </si>
  <si>
    <t>Initial Speed @ Landing</t>
  </si>
  <si>
    <t>Final Speed @ Landing</t>
  </si>
  <si>
    <t>F0 @ Takeoff</t>
  </si>
  <si>
    <t>F1 @ Landing</t>
  </si>
  <si>
    <t>F1 @ Takeoff</t>
  </si>
  <si>
    <t>F0 @ Landing</t>
  </si>
  <si>
    <t>Coeff1 @ Takeoff</t>
  </si>
  <si>
    <t>Coeff2 @ Landing</t>
  </si>
  <si>
    <t>Coeff2 @ Takeoff</t>
  </si>
  <si>
    <t>Coeff1 @ Landing</t>
  </si>
  <si>
    <t>RTO</t>
  </si>
  <si>
    <t>Phase1</t>
  </si>
  <si>
    <t>Phase2</t>
  </si>
  <si>
    <t>Phase3</t>
  </si>
  <si>
    <t>RTO Distance</t>
  </si>
  <si>
    <t>K_T =-TR_N / W_kg - mu_b</t>
  </si>
  <si>
    <t>F_0_TO_N</t>
  </si>
  <si>
    <t>F_1_TO_N</t>
  </si>
  <si>
    <t>F_0_L_N</t>
  </si>
  <si>
    <t>F_1_L_N</t>
  </si>
  <si>
    <t>Vi_TO_mps</t>
  </si>
  <si>
    <t>Vf_TO_mps</t>
  </si>
  <si>
    <t>Vi_L_mps</t>
  </si>
  <si>
    <t>Vf_L_mps</t>
  </si>
  <si>
    <t>A_1</t>
  </si>
  <si>
    <t>A_1 = T_TO - mu_u * W_TO</t>
  </si>
  <si>
    <t>B_1</t>
  </si>
  <si>
    <t>CD</t>
  </si>
  <si>
    <t>CD=CD0+K*CL^2</t>
  </si>
  <si>
    <t>V_1</t>
  </si>
  <si>
    <t>t_1</t>
  </si>
  <si>
    <t>B_2</t>
  </si>
  <si>
    <t>C</t>
  </si>
  <si>
    <t>B_2 = 0.5*rho*S_w_m2*(CD-mu_b*CL)</t>
  </si>
  <si>
    <t>B_1 = 0.5*rho*S_w_m2*(CD-mu_u*CL)</t>
  </si>
  <si>
    <t>C = TR_N+mu_b*W_TO_N</t>
  </si>
  <si>
    <t>F_0_TO_N = T_N - mu_u*W_TO_N</t>
  </si>
  <si>
    <t xml:space="preserve">F_0_L_N = TR_N + mu*W_L_N </t>
  </si>
  <si>
    <t xml:space="preserve">F_1_L_N = TR_N + D_L_N </t>
  </si>
  <si>
    <t>F_1_TO_N = T_N - D_L_N</t>
  </si>
  <si>
    <t>1-3 sec</t>
  </si>
  <si>
    <t>S_2_m = V_1_mps * t_1_s</t>
  </si>
  <si>
    <t>V_1_mps</t>
  </si>
  <si>
    <t>t_1_s</t>
  </si>
  <si>
    <t>s</t>
  </si>
  <si>
    <t>S_1_m = 0.5*m_kg/B_1 * ln(A_1/(A_1-B_1*V_1^2))</t>
  </si>
  <si>
    <t>S_3_m = 0.5*m_kg/B_2 * ln((C+B_2*V_1^2)/C)</t>
  </si>
  <si>
    <t>K_T = T_N / W_kg - mu_u</t>
  </si>
  <si>
    <t>K_A = rho/(2*W_N/S_w_m2*(-Cdo -K*CL^2 +mu_u*CL)</t>
  </si>
  <si>
    <t>K_A = rho/(2*W_N/S_w_m2*(-Cdo -K*CL^2 +mu_b*CL)</t>
  </si>
  <si>
    <t>S_RTO_m = S_1_m + S_2_m + S_3_m</t>
  </si>
  <si>
    <t>S_RTO_m</t>
  </si>
  <si>
    <t>S_RTO_ft</t>
  </si>
  <si>
    <t>S_1_m</t>
  </si>
  <si>
    <t>S_2_m</t>
  </si>
  <si>
    <t>S_3_m</t>
  </si>
  <si>
    <t>projected span length</t>
  </si>
  <si>
    <t>dihedral</t>
  </si>
  <si>
    <t>in</t>
  </si>
  <si>
    <t>projected root</t>
  </si>
  <si>
    <t>flap starting point</t>
  </si>
  <si>
    <t>winglet end point</t>
  </si>
  <si>
    <t>winglet span</t>
  </si>
  <si>
    <t>flap span length</t>
  </si>
  <si>
    <t xml:space="preserve"> span length</t>
  </si>
  <si>
    <t xml:space="preserve"> root</t>
  </si>
  <si>
    <t>flap end point
aileron start point</t>
  </si>
  <si>
    <t>aileron end point
winglet start point</t>
  </si>
  <si>
    <t>aileron span length</t>
  </si>
  <si>
    <t>winglet span length</t>
  </si>
  <si>
    <t>wingplanform area</t>
  </si>
  <si>
    <t>Wing MAC</t>
  </si>
  <si>
    <t>ft^2</t>
  </si>
  <si>
    <t>in^2</t>
  </si>
  <si>
    <t>flap mid</t>
  </si>
  <si>
    <t>flap end</t>
  </si>
  <si>
    <t>aileron end</t>
  </si>
  <si>
    <t>50 ft Obastacle Distance</t>
  </si>
  <si>
    <t>- 0.025 for paved runway (Source: MIL-STD-3013B, dry 0.025)
- 0.040 for semi-prepared (Source: Raymer, 0.05 for  hard turf, 0.04 for firm dirt, 0.07 for soft turf)
- 0.050 for martime (Source: MIL-STD-3013B, wet 0.050)</t>
  </si>
  <si>
    <t>- 0.38 for paved runway (Source: MIL-STD-3013B, dry 0.38)
- 0.35 for semi-prepared (Source: Raymer, 0.4 for hard turf, 0.3 for firm dirt, 0.2 for soft turf)
- 0.25 for martime  (Source: MIL-STD-3013B, wet 0.25)</t>
  </si>
  <si>
    <t>Baseline (Firm Dirt)</t>
  </si>
  <si>
    <t>Blown-Lift (Firm Dirt)</t>
  </si>
  <si>
    <t>Blown-Lift (Dry)</t>
  </si>
  <si>
    <t>Baseline (Dry)</t>
  </si>
  <si>
    <t>Baseline (Wet)</t>
  </si>
  <si>
    <t>Blown-Lift (Wet)</t>
  </si>
  <si>
    <t>4000 lb (Baseline)</t>
  </si>
  <si>
    <t>5000 lb (Baseline)</t>
  </si>
  <si>
    <t>6000 lb (Baseline)</t>
  </si>
  <si>
    <t>7000 lb (Baseline)</t>
  </si>
  <si>
    <t>ISA Temperature Deviation</t>
  </si>
  <si>
    <t>dT_degC</t>
  </si>
  <si>
    <t>h_ft</t>
  </si>
  <si>
    <t>Pressure Altitude</t>
  </si>
  <si>
    <t>h_m</t>
  </si>
  <si>
    <t>Standard Temperature</t>
  </si>
  <si>
    <t>Actual Temperature</t>
  </si>
  <si>
    <t>T_actual_degC</t>
  </si>
  <si>
    <t>Pressure</t>
  </si>
  <si>
    <t>Pa</t>
  </si>
  <si>
    <t>P_pa</t>
  </si>
  <si>
    <t>T_actual_k</t>
  </si>
  <si>
    <t>T_std_k</t>
  </si>
  <si>
    <t>SHP_hp</t>
  </si>
  <si>
    <t>hp</t>
  </si>
  <si>
    <t>Actual Available Power</t>
  </si>
  <si>
    <t>Reference Thrust at 504 SHP</t>
  </si>
  <si>
    <t>Estimated Uninstalled Thrust</t>
  </si>
  <si>
    <t>T_ref_lbf</t>
  </si>
  <si>
    <t>T_uninst_lbf</t>
  </si>
  <si>
    <t>Estimated Installed Thrust</t>
  </si>
  <si>
    <t>Climb Distance</t>
  </si>
  <si>
    <t>S_T_m</t>
  </si>
  <si>
    <t>S_C_m</t>
  </si>
  <si>
    <t>S_T_ft</t>
  </si>
  <si>
    <t>S_C_ft</t>
  </si>
  <si>
    <t>R</t>
  </si>
  <si>
    <t>n</t>
  </si>
  <si>
    <t>rad</t>
  </si>
  <si>
    <t>Altitude gained during transition</t>
  </si>
  <si>
    <t>Horizontal Transition Distance</t>
  </si>
  <si>
    <t>h_TR</t>
  </si>
  <si>
    <t>gamma_c</t>
  </si>
  <si>
    <t>Climb angle</t>
  </si>
  <si>
    <t>50 ft Takeoff Distance</t>
  </si>
  <si>
    <t>S_TO50_m</t>
  </si>
  <si>
    <t>S_TO50_ft</t>
  </si>
  <si>
    <t>4000 lb (Blown-Lift)</t>
  </si>
  <si>
    <t>5000 lb (Blown-Lift)</t>
  </si>
  <si>
    <t>6000 lb (Blown-Lift)</t>
  </si>
  <si>
    <t>7000 lb (Blown-Lift)</t>
  </si>
  <si>
    <t>TAS</t>
  </si>
  <si>
    <t>q</t>
  </si>
  <si>
    <t>L</t>
  </si>
  <si>
    <t>D</t>
  </si>
  <si>
    <t>T_rev</t>
  </si>
  <si>
    <t>Fx_mu</t>
  </si>
  <si>
    <t>N_n</t>
  </si>
  <si>
    <t>N_m</t>
  </si>
  <si>
    <t>N_n+N_m</t>
  </si>
  <si>
    <t>W-L</t>
  </si>
  <si>
    <t>Sanity Check</t>
  </si>
  <si>
    <t>F_x,G</t>
  </si>
  <si>
    <t>F_m,mu</t>
  </si>
  <si>
    <t>F_x</t>
  </si>
  <si>
    <t>F_m</t>
  </si>
  <si>
    <t>F_n</t>
  </si>
  <si>
    <t>sanity check</t>
  </si>
  <si>
    <t>a_dec</t>
  </si>
  <si>
    <t>ds</t>
  </si>
  <si>
    <t>T_rev_N</t>
  </si>
  <si>
    <t>W</t>
  </si>
  <si>
    <t>max brake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</si>
</sst>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0"/>
    <numFmt numFmtId="166" formatCode="0.000"/>
    <numFmt numFmtId="167" formatCode="0.0E+00"/>
    <numFmt numFmtId="168" formatCode="#,##0.0"/>
    <numFmt numFmtId="169" formatCode="0.0&quot; % MAC&quot;"/>
    <numFmt numFmtId="170" formatCode="0.00000"/>
  </numFmts>
  <fonts count="9" x14ac:knownFonts="1">
    <font>
      <sz val="11"/>
      <color theme="1"/>
      <name val="Aptos Narrow"/>
      <family val="2"/>
      <charset val="129"/>
      <scheme val="minor"/>
    </font>
    <font>
      <sz val="11"/>
      <color theme="1"/>
      <name val="Calibri"/>
      <family val="2"/>
    </font>
    <font>
      <sz val="8"/>
      <name val="Aptos Narrow"/>
      <family val="2"/>
      <charset val="129"/>
      <scheme val="minor"/>
    </font>
    <font>
      <b/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70C0"/>
      <name val="Calibri"/>
      <family val="2"/>
    </font>
    <font>
      <b/>
      <sz val="11"/>
      <color rgb="FF7030A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8" fontId="1" fillId="4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168" fontId="3" fillId="2" borderId="1" xfId="0" applyNumberFormat="1" applyFont="1" applyFill="1" applyBorder="1" applyAlignment="1">
      <alignment vertical="center"/>
    </xf>
    <xf numFmtId="164" fontId="1" fillId="7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164" fontId="1" fillId="8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vertical="center"/>
    </xf>
    <xf numFmtId="168" fontId="1" fillId="4" borderId="13" xfId="0" applyNumberFormat="1" applyFont="1" applyFill="1" applyBorder="1" applyAlignment="1">
      <alignment vertical="center"/>
    </xf>
    <xf numFmtId="164" fontId="1" fillId="4" borderId="14" xfId="0" applyNumberFormat="1" applyFont="1" applyFill="1" applyBorder="1" applyAlignment="1">
      <alignment vertical="center"/>
    </xf>
    <xf numFmtId="168" fontId="1" fillId="0" borderId="13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164" fontId="1" fillId="0" borderId="16" xfId="0" applyNumberFormat="1" applyFont="1" applyBorder="1" applyAlignment="1">
      <alignment vertical="center"/>
    </xf>
    <xf numFmtId="168" fontId="3" fillId="2" borderId="13" xfId="0" applyNumberFormat="1" applyFont="1" applyFill="1" applyBorder="1" applyAlignment="1">
      <alignment vertical="center"/>
    </xf>
    <xf numFmtId="164" fontId="3" fillId="2" borderId="14" xfId="0" applyNumberFormat="1" applyFont="1" applyFill="1" applyBorder="1" applyAlignment="1">
      <alignment vertical="center"/>
    </xf>
    <xf numFmtId="164" fontId="4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168" fontId="3" fillId="2" borderId="14" xfId="0" applyNumberFormat="1" applyFont="1" applyFill="1" applyBorder="1" applyAlignment="1">
      <alignment vertical="center"/>
    </xf>
    <xf numFmtId="168" fontId="1" fillId="2" borderId="13" xfId="0" applyNumberFormat="1" applyFont="1" applyFill="1" applyBorder="1" applyAlignment="1">
      <alignment vertical="center"/>
    </xf>
    <xf numFmtId="168" fontId="1" fillId="2" borderId="14" xfId="0" applyNumberFormat="1" applyFont="1" applyFill="1" applyBorder="1" applyAlignment="1">
      <alignment vertical="center"/>
    </xf>
    <xf numFmtId="168" fontId="1" fillId="0" borderId="14" xfId="0" applyNumberFormat="1" applyFont="1" applyBorder="1" applyAlignment="1">
      <alignment vertical="center"/>
    </xf>
    <xf numFmtId="168" fontId="1" fillId="7" borderId="13" xfId="0" applyNumberFormat="1" applyFont="1" applyFill="1" applyBorder="1" applyAlignment="1">
      <alignment vertical="center"/>
    </xf>
    <xf numFmtId="164" fontId="1" fillId="7" borderId="14" xfId="0" applyNumberFormat="1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169" fontId="5" fillId="2" borderId="18" xfId="0" applyNumberFormat="1" applyFont="1" applyFill="1" applyBorder="1" applyAlignment="1">
      <alignment vertical="center"/>
    </xf>
    <xf numFmtId="168" fontId="3" fillId="2" borderId="18" xfId="0" applyNumberFormat="1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164" fontId="4" fillId="8" borderId="13" xfId="0" applyNumberFormat="1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4" borderId="27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28" xfId="0" applyFont="1" applyFill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68" fontId="1" fillId="8" borderId="13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0" fontId="1" fillId="0" borderId="0" xfId="0" applyNumberFormat="1" applyFont="1" applyAlignment="1">
      <alignment vertical="center"/>
    </xf>
    <xf numFmtId="0" fontId="1" fillId="0" borderId="1" xfId="0" quotePrefix="1" applyFont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164" fontId="8" fillId="0" borderId="0" xfId="0" applyNumberFormat="1" applyFont="1"/>
    <xf numFmtId="1" fontId="3" fillId="0" borderId="1" xfId="0" applyNumberFormat="1" applyFont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5E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'Blown effect (mu variation)'!$E$1:$I$1</c:f>
              <c:strCache>
                <c:ptCount val="5"/>
                <c:pt idx="0">
                  <c:v>Baseline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variation)'!$E$14:$I$14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variation)'!$E$73:$I$73</c:f>
              <c:numCache>
                <c:formatCode>0</c:formatCode>
                <c:ptCount val="5"/>
                <c:pt idx="0">
                  <c:v>460.87454254743648</c:v>
                </c:pt>
                <c:pt idx="1">
                  <c:v>569.8709903054156</c:v>
                </c:pt>
                <c:pt idx="2">
                  <c:v>692.44135799924049</c:v>
                </c:pt>
                <c:pt idx="3">
                  <c:v>828.95506542234557</c:v>
                </c:pt>
                <c:pt idx="4">
                  <c:v>979.70346432295946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29-4984-B835-120555B94C27}"/>
            </c:ext>
          </c:extLst>
        </c:ser>
        <c:ser>
          <c:idx val="1"/>
          <c:order val="1"/>
          <c:tx>
            <c:strRef>
              <c:f>'Blown effect (mu variation)'!$J$1:$N$1</c:f>
              <c:strCache>
                <c:ptCount val="5"/>
                <c:pt idx="0">
                  <c:v>Blown-Lift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variation)'!$J$14:$N$14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variation)'!$J$73:$N$73</c:f>
              <c:numCache>
                <c:formatCode>0</c:formatCode>
                <c:ptCount val="5"/>
                <c:pt idx="0">
                  <c:v>402.87535441228624</c:v>
                </c:pt>
                <c:pt idx="1">
                  <c:v>497.79702909019835</c:v>
                </c:pt>
                <c:pt idx="2">
                  <c:v>604.59837942482818</c:v>
                </c:pt>
                <c:pt idx="3">
                  <c:v>723.68235377071392</c:v>
                </c:pt>
                <c:pt idx="4">
                  <c:v>855.40837911479287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29-4984-B835-120555B94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76832"/>
        <c:axId val="1919798415"/>
      </c:scatterChart>
      <c:valAx>
        <c:axId val="668976832"/>
        <c:scaling>
          <c:orientation val="minMax"/>
          <c:max val="7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Takeoff Weight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798415"/>
        <c:crosses val="autoZero"/>
        <c:crossBetween val="midCat"/>
        <c:majorUnit val="500"/>
      </c:valAx>
      <c:valAx>
        <c:axId val="1919798415"/>
        <c:scaling>
          <c:orientation val="minMax"/>
          <c:max val="12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Takeoff Ground</a:t>
                </a:r>
                <a:r>
                  <a:rPr lang="en-US" sz="1200" baseline="0"/>
                  <a:t> Roll Distance (ft)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7.5346281423700617E-3"/>
              <c:y val="0.22497117076901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76832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64793553809919"/>
          <c:y val="0.66143232572944688"/>
          <c:w val="0.3783770063523092"/>
          <c:h val="0.107655819329066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'Blown effect (mu variation)'!$E$1:$I$1</c:f>
              <c:strCache>
                <c:ptCount val="5"/>
                <c:pt idx="0">
                  <c:v>Baseline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variation)'!$E$14:$I$14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variation)'!$E$73:$I$73</c:f>
              <c:numCache>
                <c:formatCode>0</c:formatCode>
                <c:ptCount val="5"/>
                <c:pt idx="0">
                  <c:v>460.87454254743648</c:v>
                </c:pt>
                <c:pt idx="1">
                  <c:v>569.8709903054156</c:v>
                </c:pt>
                <c:pt idx="2">
                  <c:v>692.44135799924049</c:v>
                </c:pt>
                <c:pt idx="3">
                  <c:v>828.95506542234557</c:v>
                </c:pt>
                <c:pt idx="4">
                  <c:v>979.70346432295946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CF-4EBB-BBB4-01A3DDB50C3A}"/>
            </c:ext>
          </c:extLst>
        </c:ser>
        <c:ser>
          <c:idx val="1"/>
          <c:order val="1"/>
          <c:tx>
            <c:strRef>
              <c:f>'Blown effect (mu variation)'!$J$1:$N$1</c:f>
              <c:strCache>
                <c:ptCount val="5"/>
                <c:pt idx="0">
                  <c:v>Blown-Lift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variation)'!$J$14:$N$14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variation)'!$J$73:$N$73</c:f>
              <c:numCache>
                <c:formatCode>0</c:formatCode>
                <c:ptCount val="5"/>
                <c:pt idx="0">
                  <c:v>402.87535441228624</c:v>
                </c:pt>
                <c:pt idx="1">
                  <c:v>497.79702909019835</c:v>
                </c:pt>
                <c:pt idx="2">
                  <c:v>604.59837942482818</c:v>
                </c:pt>
                <c:pt idx="3">
                  <c:v>723.68235377071392</c:v>
                </c:pt>
                <c:pt idx="4">
                  <c:v>855.40837911479287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CF-4EBB-BBB4-01A3DDB50C3A}"/>
            </c:ext>
          </c:extLst>
        </c:ser>
        <c:ser>
          <c:idx val="2"/>
          <c:order val="2"/>
          <c:tx>
            <c:strRef>
              <c:f>'Blown effect (mu variation)'!$P$1:$T$1</c:f>
              <c:strCache>
                <c:ptCount val="5"/>
                <c:pt idx="0">
                  <c:v>Baseline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variation)'!$P$14:$T$14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variation)'!$P$73:$T$73</c:f>
              <c:numCache>
                <c:formatCode>0</c:formatCode>
                <c:ptCount val="5"/>
                <c:pt idx="0">
                  <c:v>474.61714569065259</c:v>
                </c:pt>
                <c:pt idx="1">
                  <c:v>589.13243864504079</c:v>
                </c:pt>
                <c:pt idx="2">
                  <c:v>718.73724974542267</c:v>
                </c:pt>
                <c:pt idx="3">
                  <c:v>864.05789359741573</c:v>
                </c:pt>
                <c:pt idx="4">
                  <c:v>1025.6598075251979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CF-4EBB-BBB4-01A3DDB50C3A}"/>
            </c:ext>
          </c:extLst>
        </c:ser>
        <c:ser>
          <c:idx val="3"/>
          <c:order val="3"/>
          <c:tx>
            <c:strRef>
              <c:f>'Blown effect (mu variation)'!$U$1:$Y$1</c:f>
              <c:strCache>
                <c:ptCount val="5"/>
                <c:pt idx="0">
                  <c:v>Blown-Lift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variation)'!$U$14:$Y$14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variation)'!$U$73:$Y$73</c:f>
              <c:numCache>
                <c:formatCode>0</c:formatCode>
                <c:ptCount val="5"/>
                <c:pt idx="0">
                  <c:v>397.98647785954734</c:v>
                </c:pt>
                <c:pt idx="1">
                  <c:v>493.46003830628337</c:v>
                </c:pt>
                <c:pt idx="2">
                  <c:v>601.5526846737572</c:v>
                </c:pt>
                <c:pt idx="3">
                  <c:v>722.88386352005796</c:v>
                </c:pt>
                <c:pt idx="4">
                  <c:v>858.0573953068382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CF-4EBB-BBB4-01A3DDB50C3A}"/>
            </c:ext>
          </c:extLst>
        </c:ser>
        <c:ser>
          <c:idx val="4"/>
          <c:order val="4"/>
          <c:tx>
            <c:strRef>
              <c:f>'Blown effect (mu variation)'!$Z$1:$AD$1</c:f>
              <c:strCache>
                <c:ptCount val="5"/>
                <c:pt idx="0">
                  <c:v>Baseline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variation)'!$Z$14:$AD$14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variation)'!$Z$73:$AD$73</c:f>
              <c:numCache>
                <c:formatCode>0</c:formatCode>
                <c:ptCount val="5"/>
                <c:pt idx="0">
                  <c:v>484.41558341992533</c:v>
                </c:pt>
                <c:pt idx="1">
                  <c:v>602.99159372355746</c:v>
                </c:pt>
                <c:pt idx="2">
                  <c:v>737.84047997749826</c:v>
                </c:pt>
                <c:pt idx="3">
                  <c:v>889.81787674967711</c:v>
                </c:pt>
                <c:pt idx="4">
                  <c:v>1059.743611873181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2BCF-4EBB-BBB4-01A3DDB50C3A}"/>
            </c:ext>
          </c:extLst>
        </c:ser>
        <c:ser>
          <c:idx val="5"/>
          <c:order val="5"/>
          <c:tx>
            <c:strRef>
              <c:f>'Blown effect (mu variation)'!$AE$1:$AI$1</c:f>
              <c:strCache>
                <c:ptCount val="5"/>
                <c:pt idx="0">
                  <c:v>Blown-Lift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variation)'!$AE$14:$AI$14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variation)'!$AE$73:$AI$73</c:f>
              <c:numCache>
                <c:formatCode>0</c:formatCode>
                <c:ptCount val="5"/>
                <c:pt idx="0">
                  <c:v>405.98854756742912</c:v>
                </c:pt>
                <c:pt idx="1">
                  <c:v>504.74819292839254</c:v>
                </c:pt>
                <c:pt idx="2">
                  <c:v>617.0811787702188</c:v>
                </c:pt>
                <c:pt idx="3">
                  <c:v>743.79702024358187</c:v>
                </c:pt>
                <c:pt idx="4">
                  <c:v>885.71465986724456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2BCF-4EBB-BBB4-01A3DDB50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76832"/>
        <c:axId val="1919798415"/>
      </c:scatterChart>
      <c:valAx>
        <c:axId val="668976832"/>
        <c:scaling>
          <c:orientation val="minMax"/>
          <c:max val="7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Takeoff Weight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798415"/>
        <c:crosses val="autoZero"/>
        <c:crossBetween val="midCat"/>
        <c:majorUnit val="500"/>
      </c:valAx>
      <c:valAx>
        <c:axId val="1919798415"/>
        <c:scaling>
          <c:orientation val="minMax"/>
          <c:max val="12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Takeoff</a:t>
                </a:r>
                <a:r>
                  <a:rPr lang="en-US" sz="1200" baseline="0"/>
                  <a:t> </a:t>
                </a:r>
                <a:r>
                  <a:rPr lang="en-US" sz="1200"/>
                  <a:t>Ground</a:t>
                </a:r>
                <a:r>
                  <a:rPr lang="en-US" sz="1200" baseline="0"/>
                  <a:t> Roll Distance (ft)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7.5346281423700617E-3"/>
              <c:y val="0.22497117076901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76832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571054057312613"/>
          <c:y val="5.2386070584624501E-2"/>
          <c:w val="0.31333045093523304"/>
          <c:h val="0.3014107573394270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'Blown effect (mu variation)'!$E$1:$I$1</c:f>
              <c:strCache>
                <c:ptCount val="5"/>
                <c:pt idx="0">
                  <c:v>Baseline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variation)'!$E$14:$I$14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variation)'!$E$89:$I$89</c:f>
              <c:numCache>
                <c:formatCode>0</c:formatCode>
                <c:ptCount val="5"/>
                <c:pt idx="0">
                  <c:v>1431.7198168543543</c:v>
                </c:pt>
                <c:pt idx="1">
                  <c:v>1574.8917985397902</c:v>
                </c:pt>
                <c:pt idx="2">
                  <c:v>1718.0637802252252</c:v>
                </c:pt>
                <c:pt idx="3">
                  <c:v>1861.2357619106599</c:v>
                </c:pt>
                <c:pt idx="4">
                  <c:v>2004.407743596096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F5-4621-9DDF-49C6B7E8B053}"/>
            </c:ext>
          </c:extLst>
        </c:ser>
        <c:ser>
          <c:idx val="1"/>
          <c:order val="1"/>
          <c:tx>
            <c:strRef>
              <c:f>'Blown effect (mu variation)'!$J$1:$N$1</c:f>
              <c:strCache>
                <c:ptCount val="5"/>
                <c:pt idx="0">
                  <c:v>Blown-Lift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variation)'!$J$14:$N$14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variation)'!$J$89:$N$89</c:f>
              <c:numCache>
                <c:formatCode>0</c:formatCode>
                <c:ptCount val="5"/>
                <c:pt idx="0">
                  <c:v>1254.1633470937841</c:v>
                </c:pt>
                <c:pt idx="1">
                  <c:v>1379.5796818031624</c:v>
                </c:pt>
                <c:pt idx="2">
                  <c:v>1504.9960165125412</c:v>
                </c:pt>
                <c:pt idx="3">
                  <c:v>1630.4123512219189</c:v>
                </c:pt>
                <c:pt idx="4">
                  <c:v>1755.8286859312973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F5-4621-9DDF-49C6B7E8B053}"/>
            </c:ext>
          </c:extLst>
        </c:ser>
        <c:ser>
          <c:idx val="2"/>
          <c:order val="2"/>
          <c:tx>
            <c:strRef>
              <c:f>'Blown effect (mu variation)'!$P$1:$T$1</c:f>
              <c:strCache>
                <c:ptCount val="5"/>
                <c:pt idx="0">
                  <c:v>Baseline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variation)'!$P$14:$T$14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variation)'!$P$89:$T$89</c:f>
              <c:numCache>
                <c:formatCode>0</c:formatCode>
                <c:ptCount val="5"/>
                <c:pt idx="0">
                  <c:v>1526.7273052621756</c:v>
                </c:pt>
                <c:pt idx="1">
                  <c:v>1679.4000357883933</c:v>
                </c:pt>
                <c:pt idx="2">
                  <c:v>1832.0727663146104</c:v>
                </c:pt>
                <c:pt idx="3">
                  <c:v>1984.7454968408274</c:v>
                </c:pt>
                <c:pt idx="4">
                  <c:v>2137.4182273670453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F5-4621-9DDF-49C6B7E8B053}"/>
            </c:ext>
          </c:extLst>
        </c:ser>
        <c:ser>
          <c:idx val="3"/>
          <c:order val="3"/>
          <c:tx>
            <c:strRef>
              <c:f>'Blown effect (mu variation)'!$U$1:$Y$1</c:f>
              <c:strCache>
                <c:ptCount val="5"/>
                <c:pt idx="0">
                  <c:v>Blown-Lift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variation)'!$U$14:$Y$14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variation)'!$U$89:$Y$89</c:f>
              <c:numCache>
                <c:formatCode>0</c:formatCode>
                <c:ptCount val="5"/>
                <c:pt idx="0">
                  <c:v>1283.4495401666295</c:v>
                </c:pt>
                <c:pt idx="1">
                  <c:v>1411.7944941832927</c:v>
                </c:pt>
                <c:pt idx="2">
                  <c:v>1540.1394481999553</c:v>
                </c:pt>
                <c:pt idx="3">
                  <c:v>1668.484402216618</c:v>
                </c:pt>
                <c:pt idx="4">
                  <c:v>1796.8293562332813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F5-4621-9DDF-49C6B7E8B053}"/>
            </c:ext>
          </c:extLst>
        </c:ser>
        <c:ser>
          <c:idx val="4"/>
          <c:order val="4"/>
          <c:tx>
            <c:strRef>
              <c:f>'Blown effect (mu variation)'!$Z$1:$AD$1</c:f>
              <c:strCache>
                <c:ptCount val="5"/>
                <c:pt idx="0">
                  <c:v>Baseline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variation)'!$Z$14:$AD$14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variation)'!$Z$89:$AD$89</c:f>
              <c:numCache>
                <c:formatCode>0</c:formatCode>
                <c:ptCount val="5"/>
                <c:pt idx="0">
                  <c:v>1979.9617980374662</c:v>
                </c:pt>
                <c:pt idx="1">
                  <c:v>2177.9579778412131</c:v>
                </c:pt>
                <c:pt idx="2">
                  <c:v>2375.9541576449587</c:v>
                </c:pt>
                <c:pt idx="3">
                  <c:v>2573.9503374487053</c:v>
                </c:pt>
                <c:pt idx="4">
                  <c:v>2771.9465172524519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F5-4621-9DDF-49C6B7E8B053}"/>
            </c:ext>
          </c:extLst>
        </c:ser>
        <c:ser>
          <c:idx val="5"/>
          <c:order val="5"/>
          <c:tx>
            <c:strRef>
              <c:f>'Blown effect (mu variation)'!$AE$1:$AI$1</c:f>
              <c:strCache>
                <c:ptCount val="5"/>
                <c:pt idx="0">
                  <c:v>Blown-Lift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variation)'!$AE$14:$AI$14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variation)'!$AE$89:$AI$89</c:f>
              <c:numCache>
                <c:formatCode>0</c:formatCode>
                <c:ptCount val="5"/>
                <c:pt idx="0">
                  <c:v>1662.1397699781435</c:v>
                </c:pt>
                <c:pt idx="1">
                  <c:v>1828.3537469759572</c:v>
                </c:pt>
                <c:pt idx="2">
                  <c:v>1994.5677239737718</c:v>
                </c:pt>
                <c:pt idx="3">
                  <c:v>2160.7817009715859</c:v>
                </c:pt>
                <c:pt idx="4">
                  <c:v>2326.9956779694007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F5-4621-9DDF-49C6B7E8B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76832"/>
        <c:axId val="1919798415"/>
      </c:scatterChart>
      <c:valAx>
        <c:axId val="668976832"/>
        <c:scaling>
          <c:orientation val="minMax"/>
          <c:max val="7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Landing</a:t>
                </a:r>
                <a:r>
                  <a:rPr lang="en-US" sz="1200" baseline="0"/>
                  <a:t> Weight</a:t>
                </a:r>
                <a:r>
                  <a:rPr lang="en-US" sz="1200"/>
                  <a:t>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798415"/>
        <c:crosses val="autoZero"/>
        <c:crossBetween val="midCat"/>
        <c:majorUnit val="500"/>
      </c:valAx>
      <c:valAx>
        <c:axId val="1919798415"/>
        <c:scaling>
          <c:orientation val="minMax"/>
          <c:max val="3000"/>
          <c:min val="1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 Landing Distance (ft)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7.5346281423700617E-3"/>
              <c:y val="0.22497117076901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76832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78110215883166"/>
          <c:y val="0.5129773010378964"/>
          <c:w val="0.31333045093523304"/>
          <c:h val="0.3014107573394270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'Blown effect (mu variation)'!$E$1:$I$1</c:f>
              <c:strCache>
                <c:ptCount val="5"/>
                <c:pt idx="0">
                  <c:v>Baseline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variation)'!$E$14:$I$14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variation)'!$E$85:$I$85</c:f>
              <c:numCache>
                <c:formatCode>0</c:formatCode>
                <c:ptCount val="5"/>
                <c:pt idx="0">
                  <c:v>1260.8732576362329</c:v>
                </c:pt>
                <c:pt idx="1">
                  <c:v>1437.6028998301697</c:v>
                </c:pt>
                <c:pt idx="2">
                  <c:v>1629.5131331596147</c:v>
                </c:pt>
                <c:pt idx="3">
                  <c:v>1836.7870189754799</c:v>
                </c:pt>
                <c:pt idx="4">
                  <c:v>2059.5106907823119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F6-4D34-9ADE-AB2ED29A7427}"/>
            </c:ext>
          </c:extLst>
        </c:ser>
        <c:ser>
          <c:idx val="1"/>
          <c:order val="1"/>
          <c:tx>
            <c:strRef>
              <c:f>'Blown effect (mu variation)'!$J$1:$N$1</c:f>
              <c:strCache>
                <c:ptCount val="5"/>
                <c:pt idx="0">
                  <c:v>Blown-Lift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variation)'!$J$14:$N$14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variation)'!$J$85:$N$85</c:f>
              <c:numCache>
                <c:formatCode>0</c:formatCode>
                <c:ptCount val="5"/>
                <c:pt idx="0">
                  <c:v>1170.6320242958066</c:v>
                </c:pt>
                <c:pt idx="1">
                  <c:v>1332.3703762015757</c:v>
                </c:pt>
                <c:pt idx="2">
                  <c:v>1507.5840155005594</c:v>
                </c:pt>
                <c:pt idx="3">
                  <c:v>1696.5646935609589</c:v>
                </c:pt>
                <c:pt idx="4">
                  <c:v>1899.5418458534132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F6-4D34-9ADE-AB2ED29A7427}"/>
            </c:ext>
          </c:extLst>
        </c:ser>
        <c:ser>
          <c:idx val="2"/>
          <c:order val="2"/>
          <c:tx>
            <c:strRef>
              <c:f>'Blown effect (mu variation)'!$P$1:$T$1</c:f>
              <c:strCache>
                <c:ptCount val="5"/>
                <c:pt idx="0">
                  <c:v>Baseline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variation)'!$P$14:$T$14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variation)'!$P$85:$T$85</c:f>
              <c:numCache>
                <c:formatCode>0</c:formatCode>
                <c:ptCount val="5"/>
                <c:pt idx="0">
                  <c:v>1274.6158607794491</c:v>
                </c:pt>
                <c:pt idx="1">
                  <c:v>1456.8643481697948</c:v>
                </c:pt>
                <c:pt idx="2">
                  <c:v>1655.8090249057968</c:v>
                </c:pt>
                <c:pt idx="3">
                  <c:v>1871.8898471505502</c:v>
                </c:pt>
                <c:pt idx="4">
                  <c:v>2105.4670339845502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F6-4D34-9ADE-AB2ED29A7427}"/>
            </c:ext>
          </c:extLst>
        </c:ser>
        <c:ser>
          <c:idx val="3"/>
          <c:order val="3"/>
          <c:tx>
            <c:strRef>
              <c:f>'Blown effect (mu variation)'!$U$1:$Y$1</c:f>
              <c:strCache>
                <c:ptCount val="5"/>
                <c:pt idx="0">
                  <c:v>Blown-Lift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variation)'!$U$14:$Y$14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variation)'!$U$85:$Y$85</c:f>
              <c:numCache>
                <c:formatCode>0</c:formatCode>
                <c:ptCount val="5"/>
                <c:pt idx="0">
                  <c:v>1156.441709422392</c:v>
                </c:pt>
                <c:pt idx="1">
                  <c:v>1318.4441447803176</c:v>
                </c:pt>
                <c:pt idx="2">
                  <c:v>1494.6477788299603</c:v>
                </c:pt>
                <c:pt idx="3">
                  <c:v>1685.5800035809593</c:v>
                </c:pt>
                <c:pt idx="4">
                  <c:v>1891.7338724057249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FF6-4D34-9ADE-AB2ED29A7427}"/>
            </c:ext>
          </c:extLst>
        </c:ser>
        <c:ser>
          <c:idx val="4"/>
          <c:order val="4"/>
          <c:tx>
            <c:strRef>
              <c:f>'Blown effect (mu variation)'!$Z$1:$AD$1</c:f>
              <c:strCache>
                <c:ptCount val="5"/>
                <c:pt idx="0">
                  <c:v>Baseline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variation)'!$Z$14:$AD$14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variation)'!$Z$85:$AD$85</c:f>
              <c:numCache>
                <c:formatCode>0</c:formatCode>
                <c:ptCount val="5"/>
                <c:pt idx="0">
                  <c:v>1284.4142985087219</c:v>
                </c:pt>
                <c:pt idx="1">
                  <c:v>1470.7235032483115</c:v>
                </c:pt>
                <c:pt idx="2">
                  <c:v>1674.9122551378723</c:v>
                </c:pt>
                <c:pt idx="3">
                  <c:v>1897.6498303028116</c:v>
                </c:pt>
                <c:pt idx="4">
                  <c:v>2139.5508383325332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FF6-4D34-9ADE-AB2ED29A7427}"/>
            </c:ext>
          </c:extLst>
        </c:ser>
        <c:ser>
          <c:idx val="5"/>
          <c:order val="5"/>
          <c:tx>
            <c:strRef>
              <c:f>'Blown effect (mu variation)'!$AE$1:$AI$1</c:f>
              <c:strCache>
                <c:ptCount val="5"/>
                <c:pt idx="0">
                  <c:v>Blown-Lift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variation)'!$AE$14:$AI$14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variation)'!$AE$85:$AI$85</c:f>
              <c:numCache>
                <c:formatCode>0</c:formatCode>
                <c:ptCount val="5"/>
                <c:pt idx="0">
                  <c:v>1164.4437791302739</c:v>
                </c:pt>
                <c:pt idx="1">
                  <c:v>1329.7322994024269</c:v>
                </c:pt>
                <c:pt idx="2">
                  <c:v>1510.1762729264219</c:v>
                </c:pt>
                <c:pt idx="3">
                  <c:v>1706.4931603044834</c:v>
                </c:pt>
                <c:pt idx="4">
                  <c:v>1919.3911369661314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FF6-4D34-9ADE-AB2ED29A7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76832"/>
        <c:axId val="1919798415"/>
      </c:scatterChart>
      <c:valAx>
        <c:axId val="668976832"/>
        <c:scaling>
          <c:orientation val="minMax"/>
          <c:max val="7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Takeoff Weight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798415"/>
        <c:crosses val="autoZero"/>
        <c:crossBetween val="midCat"/>
        <c:majorUnit val="500"/>
      </c:valAx>
      <c:valAx>
        <c:axId val="1919798415"/>
        <c:scaling>
          <c:orientation val="minMax"/>
          <c:max val="2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Takeoff</a:t>
                </a:r>
                <a:r>
                  <a:rPr lang="en-US" sz="1200" baseline="0"/>
                  <a:t> </a:t>
                </a:r>
                <a:r>
                  <a:rPr lang="en-US" sz="1200"/>
                  <a:t>Ground</a:t>
                </a:r>
                <a:r>
                  <a:rPr lang="en-US" sz="1200" baseline="0"/>
                  <a:t> Roll Distance (ft)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7.5346281423700617E-3"/>
              <c:y val="0.22497117076901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76832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571054057312613"/>
          <c:y val="5.2386070584624501E-2"/>
          <c:w val="0.31333045093523304"/>
          <c:h val="0.3014107573394270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63400653138295"/>
          <c:y val="4.3740463981563109E-2"/>
          <c:w val="0.80561872154942293"/>
          <c:h val="0.750347531515048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'Blown effect (mu variation)'!$E$1:$I$1</c:f>
              <c:strCache>
                <c:ptCount val="5"/>
                <c:pt idx="0">
                  <c:v>Baseline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variation)'!$E$14:$I$14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variation)'!$E$94:$I$94</c:f>
              <c:numCache>
                <c:formatCode>0</c:formatCode>
                <c:ptCount val="5"/>
                <c:pt idx="0">
                  <c:v>4274.5932334554118</c:v>
                </c:pt>
                <c:pt idx="1">
                  <c:v>4781.8216088781146</c:v>
                </c:pt>
                <c:pt idx="2">
                  <c:v>5314.0530455456646</c:v>
                </c:pt>
                <c:pt idx="3">
                  <c:v>5875.4715998047977</c:v>
                </c:pt>
                <c:pt idx="4">
                  <c:v>6471.2503194352448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5-4CB4-A81B-3EFE1180A820}"/>
            </c:ext>
          </c:extLst>
        </c:ser>
        <c:ser>
          <c:idx val="1"/>
          <c:order val="1"/>
          <c:tx>
            <c:strRef>
              <c:f>'Blown effect (mu variation)'!$J$1:$N$1</c:f>
              <c:strCache>
                <c:ptCount val="5"/>
                <c:pt idx="0">
                  <c:v>Blown-Lift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variation)'!$J$14:$N$14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variation)'!$J$94:$N$94</c:f>
              <c:numCache>
                <c:formatCode>0</c:formatCode>
                <c:ptCount val="5"/>
                <c:pt idx="0">
                  <c:v>4216.8215704344038</c:v>
                </c:pt>
                <c:pt idx="1">
                  <c:v>4710.1341424749435</c:v>
                </c:pt>
                <c:pt idx="2">
                  <c:v>5226.7185685229088</c:v>
                </c:pt>
                <c:pt idx="3">
                  <c:v>5770.9955111965164</c:v>
                </c:pt>
                <c:pt idx="4">
                  <c:v>6348.6649435926811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75-4CB4-A81B-3EFE1180A820}"/>
            </c:ext>
          </c:extLst>
        </c:ser>
        <c:ser>
          <c:idx val="2"/>
          <c:order val="2"/>
          <c:tx>
            <c:strRef>
              <c:f>'Blown effect (mu variation)'!$P$1:$T$1</c:f>
              <c:strCache>
                <c:ptCount val="5"/>
                <c:pt idx="0">
                  <c:v>Baseline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variation)'!$P$14:$T$14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variation)'!$P$94:$T$94</c:f>
              <c:numCache>
                <c:formatCode>0</c:formatCode>
                <c:ptCount val="5"/>
                <c:pt idx="0">
                  <c:v>4422.925238049902</c:v>
                </c:pt>
                <c:pt idx="1">
                  <c:v>4978.7937397754795</c:v>
                </c:pt>
                <c:pt idx="2">
                  <c:v>5573.7379948619264</c:v>
                </c:pt>
                <c:pt idx="3">
                  <c:v>6216.429742859098</c:v>
                </c:pt>
                <c:pt idx="4">
                  <c:v>6918.4805908654089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75-4CB4-A81B-3EFE1180A820}"/>
            </c:ext>
          </c:extLst>
        </c:ser>
        <c:ser>
          <c:idx val="3"/>
          <c:order val="3"/>
          <c:tx>
            <c:strRef>
              <c:f>'Blown effect (mu variation)'!$U$1:$Y$1</c:f>
              <c:strCache>
                <c:ptCount val="5"/>
                <c:pt idx="0">
                  <c:v>Blown-Lift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variation)'!$U$14:$Y$14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variation)'!$U$94:$Y$94</c:f>
              <c:numCache>
                <c:formatCode>0</c:formatCode>
                <c:ptCount val="5"/>
                <c:pt idx="0">
                  <c:v>4331.9158039946078</c:v>
                </c:pt>
                <c:pt idx="1">
                  <c:v>4865.7589384629327</c:v>
                </c:pt>
                <c:pt idx="2">
                  <c:v>5436.4012893629133</c:v>
                </c:pt>
                <c:pt idx="3">
                  <c:v>6053.6485922752818</c:v>
                </c:pt>
                <c:pt idx="4">
                  <c:v>6731.626856267726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75-4CB4-A81B-3EFE1180A820}"/>
            </c:ext>
          </c:extLst>
        </c:ser>
        <c:ser>
          <c:idx val="4"/>
          <c:order val="4"/>
          <c:tx>
            <c:strRef>
              <c:f>'Blown effect (mu variation)'!$Z$1:$AD$1</c:f>
              <c:strCache>
                <c:ptCount val="5"/>
                <c:pt idx="0">
                  <c:v>Baseline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variation)'!$Z$14:$AD$14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variation)'!$Z$94:$AD$94</c:f>
              <c:numCache>
                <c:formatCode>0</c:formatCode>
                <c:ptCount val="5"/>
                <c:pt idx="0">
                  <c:v>4433.0009685405903</c:v>
                </c:pt>
                <c:pt idx="1">
                  <c:v>4993.5907395006343</c:v>
                </c:pt>
                <c:pt idx="2">
                  <c:v>5594.9612076949106</c:v>
                </c:pt>
                <c:pt idx="3">
                  <c:v>6246.2667275898048</c:v>
                </c:pt>
                <c:pt idx="4">
                  <c:v>6959.6935388459369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75-4CB4-A81B-3EFE1180A820}"/>
            </c:ext>
          </c:extLst>
        </c:ser>
        <c:ser>
          <c:idx val="5"/>
          <c:order val="5"/>
          <c:tx>
            <c:strRef>
              <c:f>'Blown effect (mu variation)'!$AE$1:$AI$1</c:f>
              <c:strCache>
                <c:ptCount val="5"/>
                <c:pt idx="0">
                  <c:v>Blown-Lift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variation)'!$AE$14:$AI$14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variation)'!$AE$94:$AI$94</c:f>
              <c:numCache>
                <c:formatCode>0</c:formatCode>
                <c:ptCount val="5"/>
                <c:pt idx="0">
                  <c:v>4340.3156362662185</c:v>
                </c:pt>
                <c:pt idx="1">
                  <c:v>4878.0921882952707</c:v>
                </c:pt>
                <c:pt idx="2">
                  <c:v>5454.0956177583184</c:v>
                </c:pt>
                <c:pt idx="3">
                  <c:v>6078.5322983532988</c:v>
                </c:pt>
                <c:pt idx="4">
                  <c:v>6765.97240786562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B75-4CB4-A81B-3EFE1180A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76832"/>
        <c:axId val="1919798415"/>
      </c:scatterChart>
      <c:valAx>
        <c:axId val="668976832"/>
        <c:scaling>
          <c:orientation val="minMax"/>
          <c:max val="7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Takeoff Weight</a:t>
                </a:r>
                <a:r>
                  <a:rPr lang="en-US" sz="1200"/>
                  <a:t>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798415"/>
        <c:crosses val="autoZero"/>
        <c:crossBetween val="midCat"/>
        <c:majorUnit val="500"/>
      </c:valAx>
      <c:valAx>
        <c:axId val="1919798415"/>
        <c:scaling>
          <c:orientation val="minMax"/>
          <c:max val="7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 Landing Distance (ft)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7.5346281423700617E-3"/>
              <c:y val="0.22497117076901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76832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78110215883166"/>
          <c:y val="0.5129773010378964"/>
          <c:w val="0.31333045093523304"/>
          <c:h val="0.3014107573394270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'Blown effect (alt variation)'!$E$1:$H$1</c:f>
              <c:strCache>
                <c:ptCount val="4"/>
                <c:pt idx="0">
                  <c:v>4000 lb (Baseline)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(alt variation)'!$E$73:$H$73</c:f>
              <c:numCache>
                <c:formatCode>0</c:formatCode>
                <c:ptCount val="4"/>
                <c:pt idx="0">
                  <c:v>281.79425405716006</c:v>
                </c:pt>
                <c:pt idx="1">
                  <c:v>302.52784400422087</c:v>
                </c:pt>
                <c:pt idx="2">
                  <c:v>352.60580872872248</c:v>
                </c:pt>
                <c:pt idx="3">
                  <c:v>412.15641050842794</c:v>
                </c:pt>
              </c:numCache>
            </c:numRef>
          </c:xVal>
          <c:yVal>
            <c:numRef>
              <c:f>'Blown effect (alt variation)'!$E$4:$H$4</c:f>
              <c:numCache>
                <c:formatCode>General</c:formatCode>
                <c:ptCount val="4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95-4B93-99F6-14F2E8645C48}"/>
            </c:ext>
          </c:extLst>
        </c:ser>
        <c:ser>
          <c:idx val="1"/>
          <c:order val="1"/>
          <c:tx>
            <c:strRef>
              <c:f>'Blown effect (alt variation)'!$I$1:$L$1</c:f>
              <c:strCache>
                <c:ptCount val="4"/>
                <c:pt idx="0">
                  <c:v>5000 lb (Baseline)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(alt variation)'!$I$73:$L$73</c:f>
              <c:numCache>
                <c:formatCode>0</c:formatCode>
                <c:ptCount val="4"/>
                <c:pt idx="0">
                  <c:v>460.87454254743648</c:v>
                </c:pt>
                <c:pt idx="1">
                  <c:v>495.33372972357148</c:v>
                </c:pt>
                <c:pt idx="2">
                  <c:v>578.55580812883943</c:v>
                </c:pt>
                <c:pt idx="3">
                  <c:v>677.70834599680632</c:v>
                </c:pt>
              </c:numCache>
            </c:numRef>
          </c:xVal>
          <c:yVal>
            <c:numRef>
              <c:f>'Blown effect (alt variation)'!$I$4:$L$4</c:f>
              <c:numCache>
                <c:formatCode>General</c:formatCode>
                <c:ptCount val="4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95-4B93-99F6-14F2E8645C48}"/>
            </c:ext>
          </c:extLst>
        </c:ser>
        <c:ser>
          <c:idx val="2"/>
          <c:order val="2"/>
          <c:tx>
            <c:strRef>
              <c:f>'Blown effect (alt variation)'!$M$1:$P$1</c:f>
              <c:strCache>
                <c:ptCount val="4"/>
                <c:pt idx="0">
                  <c:v>6000 lb (Baseline)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(alt variation)'!$M$73:$P$73</c:f>
              <c:numCache>
                <c:formatCode>0</c:formatCode>
                <c:ptCount val="4"/>
                <c:pt idx="0">
                  <c:v>692.44135799924049</c:v>
                </c:pt>
                <c:pt idx="1">
                  <c:v>744.55324609024456</c:v>
                </c:pt>
                <c:pt idx="2">
                  <c:v>870.90770577294995</c:v>
                </c:pt>
                <c:pt idx="3">
                  <c:v>1021.5250996299881</c:v>
                </c:pt>
              </c:numCache>
            </c:numRef>
          </c:xVal>
          <c:yVal>
            <c:numRef>
              <c:f>'Blown effect (alt variation)'!$M$4:$P$4</c:f>
              <c:numCache>
                <c:formatCode>General</c:formatCode>
                <c:ptCount val="4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95-4B93-99F6-14F2E8645C48}"/>
            </c:ext>
          </c:extLst>
        </c:ser>
        <c:ser>
          <c:idx val="3"/>
          <c:order val="3"/>
          <c:tx>
            <c:strRef>
              <c:f>'Blown effect (alt variation)'!$Q$1:$T$1</c:f>
              <c:strCache>
                <c:ptCount val="4"/>
                <c:pt idx="0">
                  <c:v>7000 lb (Baseline)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'Blown effect (alt variation)'!$Q$73:$T$73</c:f>
              <c:numCache>
                <c:formatCode>0</c:formatCode>
                <c:ptCount val="4"/>
                <c:pt idx="0">
                  <c:v>979.70346432295946</c:v>
                </c:pt>
                <c:pt idx="1">
                  <c:v>1053.1724949911272</c:v>
                </c:pt>
                <c:pt idx="2">
                  <c:v>1232.7697092684937</c:v>
                </c:pt>
                <c:pt idx="3">
                  <c:v>1446.634010795171</c:v>
                </c:pt>
              </c:numCache>
            </c:numRef>
          </c:xVal>
          <c:yVal>
            <c:numRef>
              <c:f>'Blown effect (alt variation)'!$Q$4:$T$4</c:f>
              <c:numCache>
                <c:formatCode>General</c:formatCode>
                <c:ptCount val="4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95-4B93-99F6-14F2E8645C48}"/>
            </c:ext>
          </c:extLst>
        </c:ser>
        <c:ser>
          <c:idx val="4"/>
          <c:order val="4"/>
          <c:tx>
            <c:strRef>
              <c:f>'Blown effect (alt variation)'!$U$1:$X$1</c:f>
              <c:strCache>
                <c:ptCount val="4"/>
                <c:pt idx="0">
                  <c:v>4000 lb (Blown-Lift)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(alt variation)'!$U$73:$X$73</c:f>
              <c:numCache>
                <c:formatCode>0</c:formatCode>
                <c:ptCount val="4"/>
                <c:pt idx="0">
                  <c:v>237.16807311672193</c:v>
                </c:pt>
                <c:pt idx="1">
                  <c:v>254.40965333980961</c:v>
                </c:pt>
                <c:pt idx="2">
                  <c:v>296.28030501021209</c:v>
                </c:pt>
                <c:pt idx="3">
                  <c:v>346.04656624534897</c:v>
                </c:pt>
              </c:numCache>
            </c:numRef>
          </c:xVal>
          <c:yVal>
            <c:numRef>
              <c:f>'Blown effect (alt variation)'!$U$4:$X$4</c:f>
              <c:numCache>
                <c:formatCode>General</c:formatCode>
                <c:ptCount val="4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6F-4489-AFE0-B78E2A36E391}"/>
            </c:ext>
          </c:extLst>
        </c:ser>
        <c:ser>
          <c:idx val="5"/>
          <c:order val="5"/>
          <c:tx>
            <c:strRef>
              <c:f>'Blown effect (alt variation)'!$Y$1:$AB$1</c:f>
              <c:strCache>
                <c:ptCount val="4"/>
                <c:pt idx="0">
                  <c:v>5000 lb (Blown-Lift)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(alt variation)'!$Y$73:$AB$73</c:f>
              <c:numCache>
                <c:formatCode>0</c:formatCode>
                <c:ptCount val="4"/>
                <c:pt idx="0">
                  <c:v>386.74399442939796</c:v>
                </c:pt>
                <c:pt idx="1">
                  <c:v>415.40833647471317</c:v>
                </c:pt>
                <c:pt idx="2">
                  <c:v>484.93460971776824</c:v>
                </c:pt>
                <c:pt idx="3">
                  <c:v>567.79824007173318</c:v>
                </c:pt>
              </c:numCache>
            </c:numRef>
          </c:xVal>
          <c:yVal>
            <c:numRef>
              <c:f>'Blown effect (alt variation)'!$Y$4:$AB$4</c:f>
              <c:numCache>
                <c:formatCode>General</c:formatCode>
                <c:ptCount val="4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6F-4489-AFE0-B78E2A36E391}"/>
            </c:ext>
          </c:extLst>
        </c:ser>
        <c:ser>
          <c:idx val="6"/>
          <c:order val="6"/>
          <c:tx>
            <c:strRef>
              <c:f>'Blown effect (alt variation)'!$AC$1:$AF$1</c:f>
              <c:strCache>
                <c:ptCount val="4"/>
                <c:pt idx="0">
                  <c:v>6000 lb (Blown-Lift)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(alt variation)'!$AC$73:$AF$73</c:f>
              <c:numCache>
                <c:formatCode>0</c:formatCode>
                <c:ptCount val="4"/>
                <c:pt idx="0">
                  <c:v>580.12580184990577</c:v>
                </c:pt>
                <c:pt idx="1">
                  <c:v>623.66514315010363</c:v>
                </c:pt>
                <c:pt idx="2">
                  <c:v>729.46908792190777</c:v>
                </c:pt>
                <c:pt idx="3">
                  <c:v>855.80021457428393</c:v>
                </c:pt>
              </c:numCache>
            </c:numRef>
          </c:xVal>
          <c:yVal>
            <c:numRef>
              <c:f>'Blown effect (alt variation)'!$AC$4:$AF$4</c:f>
              <c:numCache>
                <c:formatCode>General</c:formatCode>
                <c:ptCount val="4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6F-4489-AFE0-B78E2A36E391}"/>
            </c:ext>
          </c:extLst>
        </c:ser>
        <c:ser>
          <c:idx val="7"/>
          <c:order val="7"/>
          <c:tx>
            <c:strRef>
              <c:f>'Blown effect (alt variation)'!$AG$1:$AJ$1</c:f>
              <c:strCache>
                <c:ptCount val="4"/>
                <c:pt idx="0">
                  <c:v>7000 lb (Blown-Lift)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(alt variation)'!$AG$73:$AJ$73</c:f>
              <c:numCache>
                <c:formatCode>0</c:formatCode>
                <c:ptCount val="4"/>
                <c:pt idx="0">
                  <c:v>820.65006845302105</c:v>
                </c:pt>
                <c:pt idx="1">
                  <c:v>882.57665779726415</c:v>
                </c:pt>
                <c:pt idx="2">
                  <c:v>1033.815714149182</c:v>
                </c:pt>
                <c:pt idx="3">
                  <c:v>1214.5439735271787</c:v>
                </c:pt>
              </c:numCache>
            </c:numRef>
          </c:xVal>
          <c:yVal>
            <c:numRef>
              <c:f>'Blown effect (alt variation)'!$AG$4:$AJ$4</c:f>
              <c:numCache>
                <c:formatCode>General</c:formatCode>
                <c:ptCount val="4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6F-4489-AFE0-B78E2A36E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76832"/>
        <c:axId val="1919798415"/>
      </c:scatterChart>
      <c:valAx>
        <c:axId val="668976832"/>
        <c:scaling>
          <c:orientation val="minMax"/>
          <c:max val="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Takeoff Ground Run Distance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798415"/>
        <c:crosses val="autoZero"/>
        <c:crossBetween val="midCat"/>
        <c:majorUnit val="250"/>
      </c:valAx>
      <c:valAx>
        <c:axId val="1919798415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Pressure Altitude (ft)</a:t>
                </a:r>
              </a:p>
            </c:rich>
          </c:tx>
          <c:layout>
            <c:manualLayout>
              <c:xMode val="edge"/>
              <c:yMode val="edge"/>
              <c:x val="7.5346281423700617E-3"/>
              <c:y val="0.22497117076901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76832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02064977021427"/>
          <c:y val="0.32645708727911965"/>
          <c:w val="0.2806344427235834"/>
          <c:h val="0.4777849545838060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'Blown effect (mu variation)'!$E$1:$I$1</c:f>
              <c:strCache>
                <c:ptCount val="5"/>
                <c:pt idx="0">
                  <c:v>Baseline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variation)'!$E$14:$I$14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variation)'!$E$73:$I$73</c:f>
              <c:numCache>
                <c:formatCode>0</c:formatCode>
                <c:ptCount val="5"/>
                <c:pt idx="0">
                  <c:v>460.87454254743648</c:v>
                </c:pt>
                <c:pt idx="1">
                  <c:v>569.8709903054156</c:v>
                </c:pt>
                <c:pt idx="2">
                  <c:v>692.44135799924049</c:v>
                </c:pt>
                <c:pt idx="3">
                  <c:v>828.95506542234557</c:v>
                </c:pt>
                <c:pt idx="4">
                  <c:v>979.70346432295946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7C-4E54-9E3B-7E0388EEAFE4}"/>
            </c:ext>
          </c:extLst>
        </c:ser>
        <c:ser>
          <c:idx val="1"/>
          <c:order val="1"/>
          <c:tx>
            <c:strRef>
              <c:f>'Blown effect (mu variation)'!$J$1:$N$1</c:f>
              <c:strCache>
                <c:ptCount val="5"/>
                <c:pt idx="0">
                  <c:v>Blown-Lift (Dry)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variation)'!$J$14:$N$14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variation)'!$J$73:$N$73</c:f>
              <c:numCache>
                <c:formatCode>0</c:formatCode>
                <c:ptCount val="5"/>
                <c:pt idx="0">
                  <c:v>402.87535441228624</c:v>
                </c:pt>
                <c:pt idx="1">
                  <c:v>497.79702909019835</c:v>
                </c:pt>
                <c:pt idx="2">
                  <c:v>604.59837942482818</c:v>
                </c:pt>
                <c:pt idx="3">
                  <c:v>723.68235377071392</c:v>
                </c:pt>
                <c:pt idx="4">
                  <c:v>855.40837911479287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7C-4E54-9E3B-7E0388EEAFE4}"/>
            </c:ext>
          </c:extLst>
        </c:ser>
        <c:ser>
          <c:idx val="2"/>
          <c:order val="2"/>
          <c:tx>
            <c:strRef>
              <c:f>'Blown effect (mu variation)'!$P$1:$T$1</c:f>
              <c:strCache>
                <c:ptCount val="5"/>
                <c:pt idx="0">
                  <c:v>Baseline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variation)'!$P$14:$T$14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variation)'!$P$73:$T$73</c:f>
              <c:numCache>
                <c:formatCode>0</c:formatCode>
                <c:ptCount val="5"/>
                <c:pt idx="0">
                  <c:v>474.61714569065259</c:v>
                </c:pt>
                <c:pt idx="1">
                  <c:v>589.13243864504079</c:v>
                </c:pt>
                <c:pt idx="2">
                  <c:v>718.73724974542267</c:v>
                </c:pt>
                <c:pt idx="3">
                  <c:v>864.05789359741573</c:v>
                </c:pt>
                <c:pt idx="4">
                  <c:v>1025.6598075251979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7C-4E54-9E3B-7E0388EEAFE4}"/>
            </c:ext>
          </c:extLst>
        </c:ser>
        <c:ser>
          <c:idx val="3"/>
          <c:order val="3"/>
          <c:tx>
            <c:strRef>
              <c:f>'Blown effect (mu variation)'!$U$1:$Y$1</c:f>
              <c:strCache>
                <c:ptCount val="5"/>
                <c:pt idx="0">
                  <c:v>Blown-Lift (Firm Dirt)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variation)'!$U$14:$Y$14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variation)'!$U$73:$Y$73</c:f>
              <c:numCache>
                <c:formatCode>0</c:formatCode>
                <c:ptCount val="5"/>
                <c:pt idx="0">
                  <c:v>397.98647785954734</c:v>
                </c:pt>
                <c:pt idx="1">
                  <c:v>493.46003830628337</c:v>
                </c:pt>
                <c:pt idx="2">
                  <c:v>601.5526846737572</c:v>
                </c:pt>
                <c:pt idx="3">
                  <c:v>722.88386352005796</c:v>
                </c:pt>
                <c:pt idx="4">
                  <c:v>858.0573953068382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7C-4E54-9E3B-7E0388EEAFE4}"/>
            </c:ext>
          </c:extLst>
        </c:ser>
        <c:ser>
          <c:idx val="4"/>
          <c:order val="4"/>
          <c:tx>
            <c:strRef>
              <c:f>'Blown effect (mu variation)'!$Z$1:$AD$1</c:f>
              <c:strCache>
                <c:ptCount val="5"/>
                <c:pt idx="0">
                  <c:v>Baseline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'Blown effect (mu variation)'!$Z$14:$AD$14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variation)'!$Z$73:$AD$73</c:f>
              <c:numCache>
                <c:formatCode>0</c:formatCode>
                <c:ptCount val="5"/>
                <c:pt idx="0">
                  <c:v>484.41558341992533</c:v>
                </c:pt>
                <c:pt idx="1">
                  <c:v>602.99159372355746</c:v>
                </c:pt>
                <c:pt idx="2">
                  <c:v>737.84047997749826</c:v>
                </c:pt>
                <c:pt idx="3">
                  <c:v>889.81787674967711</c:v>
                </c:pt>
                <c:pt idx="4">
                  <c:v>1059.743611873181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7C-4E54-9E3B-7E0388EEAFE4}"/>
            </c:ext>
          </c:extLst>
        </c:ser>
        <c:ser>
          <c:idx val="5"/>
          <c:order val="5"/>
          <c:tx>
            <c:strRef>
              <c:f>'Blown effect (mu variation)'!$AE$1:$AI$1</c:f>
              <c:strCache>
                <c:ptCount val="5"/>
                <c:pt idx="0">
                  <c:v>Blown-Lift (Wet)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'Blown effect (mu variation)'!$AE$14:$AI$14</c:f>
              <c:numCache>
                <c:formatCode>General</c:formatCode>
                <c:ptCount val="5"/>
                <c:pt idx="0">
                  <c:v>5000</c:v>
                </c:pt>
                <c:pt idx="1">
                  <c:v>5500</c:v>
                </c:pt>
                <c:pt idx="2">
                  <c:v>6000</c:v>
                </c:pt>
                <c:pt idx="3">
                  <c:v>6500</c:v>
                </c:pt>
                <c:pt idx="4">
                  <c:v>7000</c:v>
                </c:pt>
              </c:numCache>
            </c:numRef>
          </c:xVal>
          <c:yVal>
            <c:numRef>
              <c:f>'Blown effect (mu variation)'!$AE$73:$AI$73</c:f>
              <c:numCache>
                <c:formatCode>0</c:formatCode>
                <c:ptCount val="5"/>
                <c:pt idx="0">
                  <c:v>405.98854756742912</c:v>
                </c:pt>
                <c:pt idx="1">
                  <c:v>504.74819292839254</c:v>
                </c:pt>
                <c:pt idx="2">
                  <c:v>617.0811787702188</c:v>
                </c:pt>
                <c:pt idx="3">
                  <c:v>743.79702024358187</c:v>
                </c:pt>
                <c:pt idx="4">
                  <c:v>885.71465986724456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7C-4E54-9E3B-7E0388EEA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976832"/>
        <c:axId val="1919798415"/>
      </c:scatterChart>
      <c:valAx>
        <c:axId val="668976832"/>
        <c:scaling>
          <c:orientation val="minMax"/>
          <c:max val="7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Takeoff Weight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798415"/>
        <c:crosses val="autoZero"/>
        <c:crossBetween val="midCat"/>
        <c:majorUnit val="500"/>
      </c:valAx>
      <c:valAx>
        <c:axId val="1919798415"/>
        <c:scaling>
          <c:orientation val="minMax"/>
          <c:max val="12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Takeoff</a:t>
                </a:r>
                <a:r>
                  <a:rPr lang="en-US" sz="1200" baseline="0"/>
                  <a:t> </a:t>
                </a:r>
                <a:r>
                  <a:rPr lang="en-US" sz="1200"/>
                  <a:t>Ground</a:t>
                </a:r>
                <a:r>
                  <a:rPr lang="en-US" sz="1200" baseline="0"/>
                  <a:t> Roll Distance (ft)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7.5346281423700617E-3"/>
              <c:y val="0.22497117076901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76832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571054057312613"/>
          <c:y val="5.2386070584624501E-2"/>
          <c:w val="0.31333045093523304"/>
          <c:h val="0.3014107573394270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</a:t>
            </a:r>
            <a:r>
              <a:rPr lang="en-US" b="1" baseline="0"/>
              <a:t> MAC vs. Weight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07527118550741"/>
          <c:y val="0.17808547008547013"/>
          <c:w val="0.84042131097249206"/>
          <c:h val="0.67038185611413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Weight!$F$3</c:f>
              <c:strCache>
                <c:ptCount val="1"/>
                <c:pt idx="0">
                  <c:v>First Flight - T1 (GD / PDR)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(Weight!$G$36,Weight!$G$44)</c:f>
              <c:numCache>
                <c:formatCode>0.0" % MAC"</c:formatCode>
                <c:ptCount val="2"/>
                <c:pt idx="0">
                  <c:v>39.589036251105178</c:v>
                </c:pt>
                <c:pt idx="1">
                  <c:v>39.941180112096788</c:v>
                </c:pt>
              </c:numCache>
            </c:numRef>
          </c:xVal>
          <c:yVal>
            <c:numRef>
              <c:f>(Weight!$F$35,Weight!$F$43)</c:f>
              <c:numCache>
                <c:formatCode>#,##0.0</c:formatCode>
                <c:ptCount val="2"/>
                <c:pt idx="0">
                  <c:v>4712.5</c:v>
                </c:pt>
                <c:pt idx="1">
                  <c:v>6999.9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56-434F-B653-7CED4F220F37}"/>
            </c:ext>
          </c:extLst>
        </c:ser>
        <c:ser>
          <c:idx val="1"/>
          <c:order val="1"/>
          <c:tx>
            <c:strRef>
              <c:f>Weight!$K$3</c:f>
              <c:strCache>
                <c:ptCount val="1"/>
                <c:pt idx="0">
                  <c:v>First Flight - T1 (GD / Post-PDR)</c:v>
                </c:pt>
              </c:strCache>
            </c:strRef>
          </c:tx>
          <c:spPr>
            <a:ln w="19050" cap="rnd">
              <a:solidFill>
                <a:srgbClr val="55E9F9"/>
              </a:solidFill>
              <a:round/>
            </a:ln>
            <a:effectLst/>
          </c:spPr>
          <c:marker>
            <c:symbol val="none"/>
          </c:marker>
          <c:xVal>
            <c:numRef>
              <c:f>(Weight!$L$36,Weight!$L$44)</c:f>
              <c:numCache>
                <c:formatCode>0.0" % MAC"</c:formatCode>
                <c:ptCount val="2"/>
                <c:pt idx="0">
                  <c:v>40.752396338179814</c:v>
                </c:pt>
                <c:pt idx="1">
                  <c:v>39.965755952380938</c:v>
                </c:pt>
              </c:numCache>
            </c:numRef>
          </c:xVal>
          <c:yVal>
            <c:numRef>
              <c:f>(Weight!$K$35,Weight!$K$43)</c:f>
              <c:numCache>
                <c:formatCode>#,##0.0</c:formatCode>
                <c:ptCount val="2"/>
                <c:pt idx="0">
                  <c:v>4642.5</c:v>
                </c:pt>
                <c:pt idx="1">
                  <c:v>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56-434F-B653-7CED4F220F37}"/>
            </c:ext>
          </c:extLst>
        </c:ser>
        <c:ser>
          <c:idx val="2"/>
          <c:order val="2"/>
          <c:tx>
            <c:strRef>
              <c:f>Weight!$F$70</c:f>
              <c:strCache>
                <c:ptCount val="1"/>
                <c:pt idx="0">
                  <c:v>First Flight - T1 (GU / PDR)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(Weight!$G$103,Weight!$G$111)</c:f>
              <c:numCache>
                <c:formatCode>0.0" % MAC"</c:formatCode>
                <c:ptCount val="2"/>
                <c:pt idx="0">
                  <c:v>47.728664898320019</c:v>
                </c:pt>
                <c:pt idx="1">
                  <c:v>45.420972680562002</c:v>
                </c:pt>
              </c:numCache>
            </c:numRef>
          </c:xVal>
          <c:yVal>
            <c:numRef>
              <c:f>(Weight!$F$102,Weight!$F$110)</c:f>
              <c:numCache>
                <c:formatCode>#,##0.0</c:formatCode>
                <c:ptCount val="2"/>
                <c:pt idx="0">
                  <c:v>4712.5</c:v>
                </c:pt>
                <c:pt idx="1">
                  <c:v>6999.9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56-434F-B653-7CED4F220F37}"/>
            </c:ext>
          </c:extLst>
        </c:ser>
        <c:ser>
          <c:idx val="3"/>
          <c:order val="3"/>
          <c:tx>
            <c:strRef>
              <c:f>Weight!$K$70</c:f>
              <c:strCache>
                <c:ptCount val="1"/>
                <c:pt idx="0">
                  <c:v>First Flight - T1 (GU / Post-PDR)</c:v>
                </c:pt>
              </c:strCache>
            </c:strRef>
          </c:tx>
          <c:spPr>
            <a:ln w="19050" cap="rnd">
              <a:solidFill>
                <a:srgbClr val="55E9F9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(Weight!$L$103,Weight!$L$111)</c:f>
              <c:numCache>
                <c:formatCode>0.0" % MAC"</c:formatCode>
                <c:ptCount val="2"/>
                <c:pt idx="0">
                  <c:v>49.014754981152372</c:v>
                </c:pt>
                <c:pt idx="1">
                  <c:v>45.44547023809524</c:v>
                </c:pt>
              </c:numCache>
            </c:numRef>
          </c:xVal>
          <c:yVal>
            <c:numRef>
              <c:f>(Weight!$K$102,Weight!$K$110)</c:f>
              <c:numCache>
                <c:formatCode>#,##0.0</c:formatCode>
                <c:ptCount val="2"/>
                <c:pt idx="0">
                  <c:v>4642.5</c:v>
                </c:pt>
                <c:pt idx="1">
                  <c:v>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56-434F-B653-7CED4F220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069871"/>
        <c:axId val="1855900463"/>
      </c:scatterChart>
      <c:valAx>
        <c:axId val="446069871"/>
        <c:scaling>
          <c:orientation val="minMax"/>
          <c:max val="53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00463"/>
        <c:crosses val="autoZero"/>
        <c:crossBetween val="midCat"/>
        <c:majorUnit val="2"/>
        <c:minorUnit val="2"/>
      </c:valAx>
      <c:valAx>
        <c:axId val="185590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Wieght,</a:t>
                </a:r>
                <a:r>
                  <a:rPr lang="en-US" b="1" baseline="0"/>
                  <a:t> lb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1.2076000060221919E-2"/>
              <c:y val="0.432045494313210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06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1758705830987187"/>
          <c:y val="0.19087314085739282"/>
          <c:w val="0.31333810090182318"/>
          <c:h val="0.308542701393095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91515</xdr:colOff>
      <xdr:row>42</xdr:row>
      <xdr:rowOff>172384</xdr:rowOff>
    </xdr:from>
    <xdr:to>
      <xdr:col>17</xdr:col>
      <xdr:colOff>254000</xdr:colOff>
      <xdr:row>45</xdr:row>
      <xdr:rowOff>82177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B8A2A6-AEB7-F186-C499-001810B03947}"/>
                </a:ext>
              </a:extLst>
            </xdr:cNvPr>
            <xdr:cNvSpPr txBox="1"/>
          </xdr:nvSpPr>
          <xdr:spPr>
            <a:xfrm>
              <a:off x="11379574" y="8748619"/>
              <a:ext cx="5063191" cy="47008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𝜇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</m:d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</m:den>
                            </m:f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</m:den>
                        </m:f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</m:d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CB8A2A6-AEB7-F186-C499-001810B03947}"/>
                </a:ext>
              </a:extLst>
            </xdr:cNvPr>
            <xdr:cNvSpPr txBox="1"/>
          </xdr:nvSpPr>
          <xdr:spPr>
            <a:xfrm>
              <a:off x="11379574" y="8748619"/>
              <a:ext cx="5063191" cy="47008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𝑎=𝑔/𝑊 [𝑇−𝐷−𝜇(𝑊−𝐿)]=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𝑔[(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/𝑊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−𝜇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1/𝑊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𝜇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−𝐷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)]=𝑔(𝐾_𝑇+𝐾_𝐴 𝑉^2)</a:t>
              </a:r>
              <a:endParaRPr lang="en-US" sz="1100" b="0"/>
            </a:p>
          </xdr:txBody>
        </xdr:sp>
      </mc:Fallback>
    </mc:AlternateContent>
    <xdr:clientData/>
  </xdr:twoCellAnchor>
  <xdr:twoCellAnchor>
    <xdr:from>
      <xdr:col>9</xdr:col>
      <xdr:colOff>94504</xdr:colOff>
      <xdr:row>45</xdr:row>
      <xdr:rowOff>130548</xdr:rowOff>
    </xdr:from>
    <xdr:to>
      <xdr:col>17</xdr:col>
      <xdr:colOff>246529</xdr:colOff>
      <xdr:row>48</xdr:row>
      <xdr:rowOff>40340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90AD7BA-6556-4F00-A36E-B8B7D528A8A8}"/>
                </a:ext>
              </a:extLst>
            </xdr:cNvPr>
            <xdr:cNvSpPr txBox="1"/>
          </xdr:nvSpPr>
          <xdr:spPr>
            <a:xfrm>
              <a:off x="11382563" y="9267077"/>
              <a:ext cx="5052731" cy="47008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𝜇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</m:d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</m:den>
                            </m:f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</m:den>
                        </m:f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</m:d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90AD7BA-6556-4F00-A36E-B8B7D528A8A8}"/>
                </a:ext>
              </a:extLst>
            </xdr:cNvPr>
            <xdr:cNvSpPr txBox="1"/>
          </xdr:nvSpPr>
          <xdr:spPr>
            <a:xfrm>
              <a:off x="11382563" y="9267077"/>
              <a:ext cx="5052731" cy="47008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𝑎=𝑔/𝑊 [−𝑇_𝑅−𝐷−𝜇(𝑊−𝐿)]=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𝑔[−(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𝑇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_𝑅/𝑊+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𝜇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)+1/𝑊 (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𝜇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𝐿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−𝐷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)]=𝑔(𝐾_𝑇+𝐾_𝐴 𝑉^2)</a:t>
              </a:r>
              <a:endParaRPr lang="en-US" sz="1100" b="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91515</xdr:colOff>
      <xdr:row>50</xdr:row>
      <xdr:rowOff>172384</xdr:rowOff>
    </xdr:from>
    <xdr:to>
      <xdr:col>44</xdr:col>
      <xdr:colOff>254000</xdr:colOff>
      <xdr:row>53</xdr:row>
      <xdr:rowOff>82177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AD210A-B00E-4D17-BB41-0CCB6573B767}"/>
                </a:ext>
              </a:extLst>
            </xdr:cNvPr>
            <xdr:cNvSpPr txBox="1"/>
          </xdr:nvSpPr>
          <xdr:spPr>
            <a:xfrm>
              <a:off x="11362765" y="8636934"/>
              <a:ext cx="5039285" cy="46224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𝜇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</m:d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</m:den>
                            </m:f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</m:den>
                        </m:f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</m:d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AD210A-B00E-4D17-BB41-0CCB6573B767}"/>
                </a:ext>
              </a:extLst>
            </xdr:cNvPr>
            <xdr:cNvSpPr txBox="1"/>
          </xdr:nvSpPr>
          <xdr:spPr>
            <a:xfrm>
              <a:off x="11362765" y="8636934"/>
              <a:ext cx="5039285" cy="46224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𝑎=𝑔/𝑊 [𝑇−𝐷−𝜇(𝑊−𝐿)]=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𝑔[(𝑇/𝑊−𝜇)+1/𝑊 (𝜇𝐿−𝐷)]=𝑔(𝐾_𝑇+𝐾_𝐴 𝑉^2)</a:t>
              </a:r>
              <a:endParaRPr lang="en-US" sz="1100" b="0"/>
            </a:p>
          </xdr:txBody>
        </xdr:sp>
      </mc:Fallback>
    </mc:AlternateContent>
    <xdr:clientData/>
  </xdr:twoCellAnchor>
  <xdr:twoCellAnchor>
    <xdr:from>
      <xdr:col>36</xdr:col>
      <xdr:colOff>94504</xdr:colOff>
      <xdr:row>53</xdr:row>
      <xdr:rowOff>130548</xdr:rowOff>
    </xdr:from>
    <xdr:to>
      <xdr:col>44</xdr:col>
      <xdr:colOff>246529</xdr:colOff>
      <xdr:row>56</xdr:row>
      <xdr:rowOff>40340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501F5DF-5737-4224-968B-484D8968A3A4}"/>
                </a:ext>
              </a:extLst>
            </xdr:cNvPr>
            <xdr:cNvSpPr txBox="1"/>
          </xdr:nvSpPr>
          <xdr:spPr>
            <a:xfrm>
              <a:off x="11365754" y="9147548"/>
              <a:ext cx="5028825" cy="46224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𝜇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</m:d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</m:den>
                            </m:f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</m:den>
                        </m:f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</m:d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501F5DF-5737-4224-968B-484D8968A3A4}"/>
                </a:ext>
              </a:extLst>
            </xdr:cNvPr>
            <xdr:cNvSpPr txBox="1"/>
          </xdr:nvSpPr>
          <xdr:spPr>
            <a:xfrm>
              <a:off x="11365754" y="9147548"/>
              <a:ext cx="5028825" cy="46224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𝑎=𝑔/𝑊 [−𝑇_𝑅−𝐷−𝜇(𝑊−𝐿)]=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𝑔[−(𝑇_𝑅/𝑊+𝜇)+1/𝑊 (𝜇𝐿−𝐷)]=𝑔(𝐾_𝑇+𝐾_𝐴 𝑉^2)</a:t>
              </a:r>
              <a:endParaRPr lang="en-US" sz="1100" b="0"/>
            </a:p>
          </xdr:txBody>
        </xdr:sp>
      </mc:Fallback>
    </mc:AlternateContent>
    <xdr:clientData/>
  </xdr:twoCellAnchor>
  <xdr:twoCellAnchor>
    <xdr:from>
      <xdr:col>1</xdr:col>
      <xdr:colOff>773207</xdr:colOff>
      <xdr:row>95</xdr:row>
      <xdr:rowOff>62753</xdr:rowOff>
    </xdr:from>
    <xdr:to>
      <xdr:col>8</xdr:col>
      <xdr:colOff>418353</xdr:colOff>
      <xdr:row>113</xdr:row>
      <xdr:rowOff>37353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06E206-073C-F572-561A-9ED018CD3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36</xdr:col>
      <xdr:colOff>493059</xdr:colOff>
      <xdr:row>10</xdr:row>
      <xdr:rowOff>52294</xdr:rowOff>
    </xdr:from>
    <xdr:to>
      <xdr:col>46</xdr:col>
      <xdr:colOff>351119</xdr:colOff>
      <xdr:row>20</xdr:row>
      <xdr:rowOff>49694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7EFB56-1DC0-CCBA-9077-E8D53B673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79471" y="1538941"/>
          <a:ext cx="5983942" cy="2597164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95</xdr:row>
      <xdr:rowOff>14940</xdr:rowOff>
    </xdr:from>
    <xdr:to>
      <xdr:col>18</xdr:col>
      <xdr:colOff>317499</xdr:colOff>
      <xdr:row>112</xdr:row>
      <xdr:rowOff>176304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F264F4-594F-48B2-AA4C-C990A5309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933825</xdr:colOff>
      <xdr:row>115</xdr:row>
      <xdr:rowOff>22411</xdr:rowOff>
    </xdr:from>
    <xdr:to>
      <xdr:col>8</xdr:col>
      <xdr:colOff>578971</xdr:colOff>
      <xdr:row>132</xdr:row>
      <xdr:rowOff>183775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70516B-62B7-49B1-B2F8-29CCE13476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59764</xdr:colOff>
      <xdr:row>94</xdr:row>
      <xdr:rowOff>156882</xdr:rowOff>
    </xdr:from>
    <xdr:to>
      <xdr:col>28</xdr:col>
      <xdr:colOff>377263</xdr:colOff>
      <xdr:row>112</xdr:row>
      <xdr:rowOff>131481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FB602F-D08A-4531-BCC7-F75D26C43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256319</xdr:colOff>
      <xdr:row>114</xdr:row>
      <xdr:rowOff>171307</xdr:rowOff>
    </xdr:from>
    <xdr:to>
      <xdr:col>18</xdr:col>
      <xdr:colOff>573818</xdr:colOff>
      <xdr:row>132</xdr:row>
      <xdr:rowOff>148740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C630CA-AC3E-42D0-9A12-4EADE9274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91515</xdr:colOff>
      <xdr:row>50</xdr:row>
      <xdr:rowOff>172384</xdr:rowOff>
    </xdr:from>
    <xdr:to>
      <xdr:col>45</xdr:col>
      <xdr:colOff>254000</xdr:colOff>
      <xdr:row>53</xdr:row>
      <xdr:rowOff>82177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66CDB3-1DAA-4DF5-A515-78DA985539BF}"/>
                </a:ext>
              </a:extLst>
            </xdr:cNvPr>
            <xdr:cNvSpPr txBox="1"/>
          </xdr:nvSpPr>
          <xdr:spPr>
            <a:xfrm>
              <a:off x="30260365" y="9373534"/>
              <a:ext cx="5039285" cy="46224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𝜇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</m:d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</m:den>
                            </m:f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</m:den>
                        </m:f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</m:d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66CDB3-1DAA-4DF5-A515-78DA985539BF}"/>
                </a:ext>
              </a:extLst>
            </xdr:cNvPr>
            <xdr:cNvSpPr txBox="1"/>
          </xdr:nvSpPr>
          <xdr:spPr>
            <a:xfrm>
              <a:off x="30260365" y="9373534"/>
              <a:ext cx="5039285" cy="46224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𝑎=𝑔/𝑊 [𝑇−𝐷−𝜇(𝑊−𝐿)]=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𝑔[(𝑇/𝑊−𝜇)+1/𝑊 (𝜇𝐿−𝐷)]=𝑔(𝐾_𝑇+𝐾_𝐴 𝑉^2)</a:t>
              </a:r>
              <a:endParaRPr lang="en-US" sz="1100" b="0"/>
            </a:p>
          </xdr:txBody>
        </xdr:sp>
      </mc:Fallback>
    </mc:AlternateContent>
    <xdr:clientData/>
  </xdr:twoCellAnchor>
  <xdr:twoCellAnchor>
    <xdr:from>
      <xdr:col>37</xdr:col>
      <xdr:colOff>94504</xdr:colOff>
      <xdr:row>53</xdr:row>
      <xdr:rowOff>130548</xdr:rowOff>
    </xdr:from>
    <xdr:to>
      <xdr:col>45</xdr:col>
      <xdr:colOff>246529</xdr:colOff>
      <xdr:row>56</xdr:row>
      <xdr:rowOff>40340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F2C7113-9EA5-4484-918C-445497137018}"/>
                </a:ext>
              </a:extLst>
            </xdr:cNvPr>
            <xdr:cNvSpPr txBox="1"/>
          </xdr:nvSpPr>
          <xdr:spPr>
            <a:xfrm>
              <a:off x="30263354" y="9884148"/>
              <a:ext cx="5028825" cy="46224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den>
                    </m:f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𝜇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</m:d>
                      </m:e>
                    </m:d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𝑅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</m:den>
                            </m:f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𝑊</m:t>
                            </m:r>
                          </m:den>
                        </m:f>
                        <m:d>
                          <m:dPr>
                            <m:ctrlP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</m:e>
                        </m:d>
                      </m:e>
                    </m:d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𝑔</m:t>
                    </m:r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sub>
                    </m:sSub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sub>
                    </m:sSub>
                    <m:sSup>
                      <m:sSupPr>
                        <m:ctrlP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F2C7113-9EA5-4484-918C-445497137018}"/>
                </a:ext>
              </a:extLst>
            </xdr:cNvPr>
            <xdr:cNvSpPr txBox="1"/>
          </xdr:nvSpPr>
          <xdr:spPr>
            <a:xfrm>
              <a:off x="30263354" y="9884148"/>
              <a:ext cx="5028825" cy="46224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𝑎=𝑔/𝑊 [−𝑇_𝑅−𝐷−𝜇(𝑊−𝐿)]=</a:t>
              </a:r>
              <a:r>
                <a:rPr lang="en-US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𝑔[−(𝑇_𝑅/𝑊+𝜇)+1/𝑊 (𝜇𝐿−𝐷)]=𝑔(𝐾_𝑇+𝐾_𝐴 𝑉^2)</a:t>
              </a:r>
              <a:endParaRPr lang="en-US" sz="1100" b="0"/>
            </a:p>
          </xdr:txBody>
        </xdr:sp>
      </mc:Fallback>
    </mc:AlternateContent>
    <xdr:clientData/>
  </xdr:twoCellAnchor>
  <xdr:twoCellAnchor>
    <xdr:from>
      <xdr:col>7</xdr:col>
      <xdr:colOff>653677</xdr:colOff>
      <xdr:row>87</xdr:row>
      <xdr:rowOff>77695</xdr:rowOff>
    </xdr:from>
    <xdr:to>
      <xdr:col>16</xdr:col>
      <xdr:colOff>261471</xdr:colOff>
      <xdr:row>105</xdr:row>
      <xdr:rowOff>52295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E3CEE8-E3CC-4EF6-BD5E-CA5876DAA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37</xdr:col>
      <xdr:colOff>493059</xdr:colOff>
      <xdr:row>10</xdr:row>
      <xdr:rowOff>52294</xdr:rowOff>
    </xdr:from>
    <xdr:to>
      <xdr:col>47</xdr:col>
      <xdr:colOff>351118</xdr:colOff>
      <xdr:row>20</xdr:row>
      <xdr:rowOff>49693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6CC0C3-ED74-4CB4-A114-52FC5C6F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61909" y="1525494"/>
          <a:ext cx="5954060" cy="25754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158750</xdr:colOff>
      <xdr:row>21</xdr:row>
      <xdr:rowOff>12700</xdr:rowOff>
    </xdr:from>
    <xdr:to>
      <xdr:col>10</xdr:col>
      <xdr:colOff>503143</xdr:colOff>
      <xdr:row>39</xdr:row>
      <xdr:rowOff>148664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B3842D-FBCE-46C2-8E29-96F10AF2A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254000</xdr:colOff>
      <xdr:row>2</xdr:row>
      <xdr:rowOff>25400</xdr:rowOff>
    </xdr:from>
    <xdr:ext cx="1080167" cy="3181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47C7BC0-BD44-7C4B-68F1-25639A8996F0}"/>
                </a:ext>
              </a:extLst>
            </xdr:cNvPr>
            <xdr:cNvSpPr txBox="1"/>
          </xdr:nvSpPr>
          <xdr:spPr>
            <a:xfrm>
              <a:off x="8553450" y="393700"/>
              <a:ext cx="1080167" cy="318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den>
                    </m:f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𝜌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𝐿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47C7BC0-BD44-7C4B-68F1-25639A8996F0}"/>
                </a:ext>
              </a:extLst>
            </xdr:cNvPr>
            <xdr:cNvSpPr txBox="1"/>
          </xdr:nvSpPr>
          <xdr:spPr>
            <a:xfrm>
              <a:off x="8553450" y="393700"/>
              <a:ext cx="1080167" cy="3181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𝑊/𝑆=1/2 𝜌𝑉_𝑠^2 𝐶_(𝐿,𝑚𝑎𝑥)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13</xdr:col>
      <xdr:colOff>361950</xdr:colOff>
      <xdr:row>9</xdr:row>
      <xdr:rowOff>50800</xdr:rowOff>
    </xdr:from>
    <xdr:ext cx="2415598" cy="8982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6F9E15-ADC9-4F6E-B297-D7EAA63AD3DF}"/>
                </a:ext>
              </a:extLst>
            </xdr:cNvPr>
            <xdr:cNvSpPr txBox="1"/>
          </xdr:nvSpPr>
          <xdr:spPr>
            <a:xfrm>
              <a:off x="11950700" y="1708150"/>
              <a:ext cx="2415598" cy="898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𝑇𝑂𝐺</m:t>
                        </m:r>
                      </m:sub>
                    </m:sSub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∝</m:t>
                    </m:r>
                    <m:f>
                      <m:f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</m:d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𝑃</m:t>
                                </m:r>
                              </m:e>
                            </m:d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</m:num>
                      <m:den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𝑚𝑎𝑥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</m:den>
                    </m:f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𝑇𝑂</m:t>
                    </m:r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23</m:t>
                        </m:r>
                      </m:sub>
                    </m:sSub>
                  </m:oMath>
                </m:oMathPara>
              </a14:m>
              <a:endParaRPr lang="en-US" altLang="ko-KR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𝑇𝑂𝐺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=4.9(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𝑇𝑂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23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)+0.009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𝑇𝑂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23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𝑇𝑂</m:t>
                        </m:r>
                      </m:sub>
                    </m:sSub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=1.66</m:t>
                    </m:r>
                    <m:d>
                      <m:d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𝑇𝑂𝐺</m:t>
                            </m:r>
                          </m:sub>
                        </m:sSub>
                      </m:e>
                    </m:d>
                  </m:oMath>
                  <m:oMath>
                    <m:sSub>
                      <m:sSub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𝑇𝑂</m:t>
                        </m:r>
                      </m:sub>
                    </m:sSub>
                    <m:r>
                      <a:rPr lang="en-US" altLang="ko-KR" b="0" i="1">
                        <a:effectLst/>
                        <a:latin typeface="Cambria Math" panose="02040503050406030204" pitchFamily="18" charset="0"/>
                      </a:rPr>
                      <m:t>=8.134</m:t>
                    </m:r>
                    <m:d>
                      <m:d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𝑇𝑂</m:t>
                        </m:r>
                        <m:sSub>
                          <m:sSubPr>
                            <m:ctrlP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23</m:t>
                            </m:r>
                          </m:sub>
                        </m:sSub>
                      </m:e>
                    </m:d>
                    <m:r>
                      <a:rPr lang="en-US" altLang="ko-KR" b="0" i="1">
                        <a:effectLst/>
                        <a:latin typeface="Cambria Math" panose="02040503050406030204" pitchFamily="18" charset="0"/>
                      </a:rPr>
                      <m:t>+0.0149</m:t>
                    </m:r>
                    <m:sSup>
                      <m:sSup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𝑇𝑂</m:t>
                            </m:r>
                            <m:sSub>
                              <m:sSubPr>
                                <m:ctrlP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  <m:t>23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ko-KR" altLang="ko-KR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6F9E15-ADC9-4F6E-B297-D7EAA63AD3DF}"/>
                </a:ext>
              </a:extLst>
            </xdr:cNvPr>
            <xdr:cNvSpPr txBox="1"/>
          </xdr:nvSpPr>
          <xdr:spPr>
            <a:xfrm>
              <a:off x="11950700" y="1708150"/>
              <a:ext cx="2415598" cy="898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𝑆_𝑇𝑂𝐺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∝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((𝑊/𝑆)_𝑇𝑂 (𝑊/𝑃)_𝑇𝑂)/(𝜎𝐶_(𝐿,𝑚𝑎𝑥,𝑇𝑂) )=𝑇𝑂𝑃_23</a:t>
              </a:r>
              <a:endParaRPr lang="en-US" altLang="ko-KR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𝑆_𝑇𝑂𝐺=4.9(𝑇𝑂𝑃_23)+0.009(𝑇𝑂𝑃_23 )^2</a:t>
              </a:r>
              <a:endParaRPr lang="en-US" altLang="ko-KR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𝑆_𝑇𝑂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=1.66(𝑆_𝑇𝑂𝐺 )</a:t>
              </a:r>
              <a:br>
                <a:rPr lang="en-US" altLang="ko-KR">
                  <a:effectLst/>
                </a:rPr>
              </a:br>
              <a:r>
                <a:rPr lang="en-US" altLang="ko-KR" b="0" i="0">
                  <a:effectLst/>
                  <a:latin typeface="Cambria Math" panose="02040503050406030204" pitchFamily="18" charset="0"/>
                </a:rPr>
                <a:t>𝑆_𝑇𝑂=8.134(𝑇𝑂𝑃_23 )+0.0149(𝑇𝑂𝑃_23 )^2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oneCellAnchor>
  <xdr:oneCellAnchor>
    <xdr:from>
      <xdr:col>13</xdr:col>
      <xdr:colOff>444500</xdr:colOff>
      <xdr:row>16</xdr:row>
      <xdr:rowOff>50800</xdr:rowOff>
    </xdr:from>
    <xdr:ext cx="2415598" cy="8982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DBC19E1-7E96-4F9A-96B8-C1288AE36C12}"/>
                </a:ext>
              </a:extLst>
            </xdr:cNvPr>
            <xdr:cNvSpPr txBox="1"/>
          </xdr:nvSpPr>
          <xdr:spPr>
            <a:xfrm>
              <a:off x="12033250" y="2997200"/>
              <a:ext cx="2415598" cy="898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𝑇𝑂𝐺</m:t>
                        </m:r>
                      </m:sub>
                    </m:sSub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∝</m:t>
                    </m:r>
                    <m:f>
                      <m:f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𝑆</m:t>
                                </m:r>
                              </m:e>
                            </m:d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/</m:t>
                                </m:r>
                                <m:r>
                                  <a:rPr lang="en-US" altLang="ko-KR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𝑊</m:t>
                                </m:r>
                              </m:e>
                            </m:d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</m:num>
                      <m:den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𝑚𝑎𝑥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</m:t>
                            </m:r>
                          </m:sub>
                        </m:sSub>
                      </m:den>
                    </m:f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𝑇𝑂</m:t>
                    </m:r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23</m:t>
                        </m:r>
                      </m:sub>
                    </m:sSub>
                  </m:oMath>
                </m:oMathPara>
              </a14:m>
              <a:endParaRPr lang="en-US" altLang="ko-KR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𝑇𝑂𝐺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=4.9(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𝑇𝑂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23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)+0.009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𝑇𝑂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23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𝑇𝑂</m:t>
                        </m:r>
                      </m:sub>
                    </m:sSub>
                    <m:r>
                      <a:rPr lang="en-US" altLang="ko-K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=1.66</m:t>
                    </m:r>
                    <m:d>
                      <m:dPr>
                        <m:ctrlPr>
                          <a:rPr lang="en-US" altLang="ko-K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altLang="ko-K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𝑇𝑂𝐺</m:t>
                            </m:r>
                          </m:sub>
                        </m:sSub>
                      </m:e>
                    </m:d>
                  </m:oMath>
                  <m:oMath>
                    <m:sSub>
                      <m:sSub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𝑇𝑂</m:t>
                        </m:r>
                      </m:sub>
                    </m:sSub>
                    <m:r>
                      <a:rPr lang="en-US" altLang="ko-KR" b="0" i="1">
                        <a:effectLst/>
                        <a:latin typeface="Cambria Math" panose="02040503050406030204" pitchFamily="18" charset="0"/>
                      </a:rPr>
                      <m:t>=8.134</m:t>
                    </m:r>
                    <m:d>
                      <m:d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𝑇𝑂</m:t>
                        </m:r>
                        <m:sSub>
                          <m:sSubPr>
                            <m:ctrlP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23</m:t>
                            </m:r>
                          </m:sub>
                        </m:sSub>
                      </m:e>
                    </m:d>
                    <m:r>
                      <a:rPr lang="en-US" altLang="ko-KR" b="0" i="1">
                        <a:effectLst/>
                        <a:latin typeface="Cambria Math" panose="02040503050406030204" pitchFamily="18" charset="0"/>
                      </a:rPr>
                      <m:t>+0.0149</m:t>
                    </m:r>
                    <m:sSup>
                      <m:sSupPr>
                        <m:ctrlP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ko-KR" b="0" i="1">
                                <a:effectLst/>
                                <a:latin typeface="Cambria Math" panose="02040503050406030204" pitchFamily="18" charset="0"/>
                              </a:rPr>
                              <m:t>𝑇𝑂</m:t>
                            </m:r>
                            <m:sSub>
                              <m:sSubPr>
                                <m:ctrlP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b="0" i="1">
                                    <a:effectLst/>
                                    <a:latin typeface="Cambria Math" panose="02040503050406030204" pitchFamily="18" charset="0"/>
                                  </a:rPr>
                                  <m:t>23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b="0" i="1">
                            <a:effectLst/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ko-KR" altLang="ko-KR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DBC19E1-7E96-4F9A-96B8-C1288AE36C12}"/>
                </a:ext>
              </a:extLst>
            </xdr:cNvPr>
            <xdr:cNvSpPr txBox="1"/>
          </xdr:nvSpPr>
          <xdr:spPr>
            <a:xfrm>
              <a:off x="12033250" y="2997200"/>
              <a:ext cx="2415598" cy="8982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𝑆_𝑇𝑂𝐺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∝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((𝑊/𝑆)_𝑇𝑂 (𝑇/𝑊)_𝑇𝑂)/(𝜎𝐶_(𝐿,𝑚𝑎𝑥,𝑇𝑂) )=𝑇𝑂𝑃_23</a:t>
              </a:r>
              <a:endParaRPr lang="en-US" altLang="ko-KR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𝑆_𝑇𝑂𝐺=4.9(𝑇𝑂𝑃_23)+0.009(𝑇𝑂𝑃_23 )^2</a:t>
              </a:r>
              <a:endParaRPr lang="en-US" altLang="ko-KR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𝑆_𝑇𝑂</a:t>
              </a:r>
              <a:r>
                <a:rPr lang="en-US" altLang="ko-K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=1.66(𝑆_𝑇𝑂𝐺 )</a:t>
              </a:r>
              <a:br>
                <a:rPr lang="en-US" altLang="ko-KR">
                  <a:effectLst/>
                </a:rPr>
              </a:br>
              <a:r>
                <a:rPr lang="en-US" altLang="ko-KR" b="0" i="0">
                  <a:effectLst/>
                  <a:latin typeface="Cambria Math" panose="02040503050406030204" pitchFamily="18" charset="0"/>
                </a:rPr>
                <a:t>𝑆_𝑇𝑂=8.134(𝑇𝑂𝑃_23 )+0.0149(𝑇𝑂𝑃_23 )^2</a:t>
              </a:r>
              <a:endParaRPr lang="ko-KR" altLang="ko-KR">
                <a:effectLst/>
              </a:endParaRP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45</xdr:row>
      <xdr:rowOff>152400</xdr:rowOff>
    </xdr:from>
    <xdr:to>
      <xdr:col>18</xdr:col>
      <xdr:colOff>571500</xdr:colOff>
      <xdr:row>66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B8159-26D6-59DA-C204-6D9A35767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0.56244</cdr:x>
      <cdr:y>0.17778</cdr:y>
    </cdr:from>
    <cdr:to>
      <cdr:x>0.56244</cdr:x>
      <cdr:y>0.8431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5FB42FE-0E77-BC74-26F7-09BAFE389F1A}"/>
            </a:ext>
          </a:extLst>
        </cdr:cNvPr>
        <cdr:cNvCxnSpPr/>
      </cdr:nvCxnSpPr>
      <cdr:spPr>
        <a:xfrm xmlns:a="http://schemas.openxmlformats.org/drawingml/2006/main">
          <a:off x="3575050" y="660400"/>
          <a:ext cx="0" cy="2471513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0.47153</cdr:x>
      <cdr:y>0.10085</cdr:y>
    </cdr:from>
    <cdr:to>
      <cdr:x>0.67932</cdr:x>
      <cdr:y>0.17094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4EAB8F5-3464-2CAE-7C1C-5E7E647B328C}"/>
            </a:ext>
          </a:extLst>
        </cdr:cNvPr>
        <cdr:cNvSpPr txBox="1"/>
      </cdr:nvSpPr>
      <cdr:spPr>
        <a:xfrm xmlns:a="http://schemas.openxmlformats.org/drawingml/2006/main">
          <a:off x="2997200" y="374650"/>
          <a:ext cx="1320800" cy="260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Ground, AFT, 40.0%</a:t>
          </a:r>
        </a:p>
      </cdr:txBody>
    </cdr:sp>
  </cdr:relSizeAnchor>
  <cdr:relSizeAnchor xmlns:cdr="http://schemas.openxmlformats.org/drawingml/2006/chartDrawing">
    <cdr:from>
      <cdr:x>0.8022</cdr:x>
      <cdr:y>0.18291</cdr:y>
    </cdr:from>
    <cdr:to>
      <cdr:x>0.8022</cdr:x>
      <cdr:y>0.84823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F87E40AA-DF03-EA71-23DD-E29E10B8EDA4}"/>
            </a:ext>
          </a:extLst>
        </cdr:cNvPr>
        <cdr:cNvCxnSpPr/>
      </cdr:nvCxnSpPr>
      <cdr:spPr>
        <a:xfrm xmlns:a="http://schemas.openxmlformats.org/drawingml/2006/main">
          <a:off x="5099050" y="679450"/>
          <a:ext cx="0" cy="2471513"/>
        </a:xfrm>
        <a:prstGeom xmlns:a="http://schemas.openxmlformats.org/drawingml/2006/main" prst="line">
          <a:avLst/>
        </a:prstGeom>
        <a:ln xmlns:a="http://schemas.openxmlformats.org/drawingml/2006/main" w="19050" cap="flat" cmpd="sng" algn="ctr">
          <a:solidFill>
            <a:schemeClr val="dk1"/>
          </a:solidFill>
          <a:prstDash val="lgDashDot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0.6983</cdr:x>
      <cdr:y>0.10598</cdr:y>
    </cdr:from>
    <cdr:to>
      <cdr:x>0.90609</cdr:x>
      <cdr:y>0.17607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88492D8-B82C-3232-74DF-EE271D173E18}"/>
            </a:ext>
          </a:extLst>
        </cdr:cNvPr>
        <cdr:cNvSpPr txBox="1"/>
      </cdr:nvSpPr>
      <cdr:spPr>
        <a:xfrm xmlns:a="http://schemas.openxmlformats.org/drawingml/2006/main">
          <a:off x="4438650" y="393700"/>
          <a:ext cx="1320800" cy="260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Neutral</a:t>
          </a:r>
          <a:r>
            <a:rPr lang="en-US" sz="1100" kern="1200" baseline="0"/>
            <a:t> Point 48.0 %</a:t>
          </a:r>
          <a:endParaRPr lang="en-US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Sehwan Park" id="{D8BA67B6-BC8B-4FBB-A014-CC2E51D1C7D0}" userId="2a91093fbf50c22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4-18T17:59:13.12" personId="{D8BA67B6-BC8B-4FBB-A014-CC2E51D1C7D0}" id="{8B4EAA37-4F6E-4683-ACD1-08FB04C43455}">
    <text>나중에 CLmax도 range 설정할 수 있게 수정하자</text>
  </threadedComment>
  <threadedComment ref="E10" dT="2026-04-18T17:59:40.69" personId="{D8BA67B6-BC8B-4FBB-A014-CC2E51D1C7D0}" id="{5708C348-F652-4EAB-8E0D-527E2A999635}">
    <text>Alt_Ft 읽어서 자동으로 계산되도록 수정필요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AB92-3D2F-40CB-A982-2BD3DCB260A2}">
  <dimension ref="A2:I45"/>
  <sheetViews>
    <sheetView workbookViewId="0">
      <selection activeCell="E23" sqref="E23"/>
    </sheetView>
  </sheetViews>
  <sheetFormatPr defaultColWidth="8.7265625" defaultRowHeight="14.5" x14ac:dyDescent="0.25"/>
  <cols>
    <col min="1" max="1" width="8.7265625" style="5"/>
    <col min="2" max="2" width="39.7265625" style="5" bestFit="1" customWidth="1"/>
    <col min="3" max="3" width="3.453125" style="5" bestFit="1" customWidth="1"/>
    <col min="4" max="4" width="8.7265625" style="5"/>
    <col min="5" max="5" width="31.36328125" style="5" customWidth="1"/>
    <col min="6" max="6" width="20" style="5" bestFit="1" customWidth="1"/>
    <col min="7" max="7" width="4.1796875" style="5" bestFit="1" customWidth="1"/>
    <col min="8" max="16384" width="8.7265625" style="5"/>
  </cols>
  <sheetData>
    <row r="2" spans="1:8" x14ac:dyDescent="0.25">
      <c r="A2" s="5" t="s">
        <v>0</v>
      </c>
      <c r="E2" s="5" t="s">
        <v>93</v>
      </c>
    </row>
    <row r="3" spans="1:8" x14ac:dyDescent="0.25">
      <c r="B3" s="5" t="s">
        <v>12</v>
      </c>
      <c r="C3" s="5" t="s">
        <v>10</v>
      </c>
      <c r="E3" s="6"/>
      <c r="F3" s="5" t="s">
        <v>12</v>
      </c>
      <c r="G3" s="5" t="s">
        <v>10</v>
      </c>
      <c r="H3" s="5">
        <f>IF($D$3&lt;&gt;"",$D$3,$D$4*CONVERT(1,"lbm","kg"))</f>
        <v>1043.2624510000001</v>
      </c>
    </row>
    <row r="4" spans="1:8" x14ac:dyDescent="0.25">
      <c r="C4" s="5" t="s">
        <v>11</v>
      </c>
      <c r="D4" s="5">
        <v>2300</v>
      </c>
      <c r="G4" s="5" t="s">
        <v>11</v>
      </c>
      <c r="H4" s="6">
        <f>IF($D$4&lt;&gt;"",$D$4, $D$3*CONVERT(1,"kg","lbm"))</f>
        <v>2300</v>
      </c>
    </row>
    <row r="5" spans="1:8" x14ac:dyDescent="0.25">
      <c r="B5" s="5" t="s">
        <v>13</v>
      </c>
      <c r="C5" s="5" t="s">
        <v>15</v>
      </c>
      <c r="D5" s="5">
        <v>100</v>
      </c>
      <c r="F5" s="5" t="s">
        <v>13</v>
      </c>
      <c r="G5" s="5" t="s">
        <v>15</v>
      </c>
      <c r="H5" s="5">
        <f>IF($D$5&lt;&gt;"",$D$5,$D$6*CONVERT(1,"Nmi","km"))</f>
        <v>100</v>
      </c>
    </row>
    <row r="6" spans="1:8" x14ac:dyDescent="0.25">
      <c r="C6" s="5" t="s">
        <v>14</v>
      </c>
      <c r="G6" s="5" t="s">
        <v>14</v>
      </c>
      <c r="H6" s="6">
        <f>IF($D$4&lt;&gt;"",$D$4, $D$3*CONVERT(1,"km","Nmi"))</f>
        <v>2300</v>
      </c>
    </row>
    <row r="7" spans="1:8" x14ac:dyDescent="0.25">
      <c r="B7" s="5" t="s">
        <v>24</v>
      </c>
      <c r="C7" s="5" t="s">
        <v>19</v>
      </c>
      <c r="F7" s="5" t="s">
        <v>24</v>
      </c>
      <c r="G7" s="5" t="s">
        <v>19</v>
      </c>
      <c r="H7" s="7">
        <f>IF($D$7&lt;&gt;"",$D$7,$D$8*CONVERT(1,"kn","m/s"))</f>
        <v>25.722222222222225</v>
      </c>
    </row>
    <row r="8" spans="1:8" x14ac:dyDescent="0.25">
      <c r="C8" s="5" t="s">
        <v>9</v>
      </c>
      <c r="D8" s="5">
        <v>50</v>
      </c>
      <c r="E8" s="5" t="s">
        <v>96</v>
      </c>
      <c r="G8" s="5" t="s">
        <v>28</v>
      </c>
      <c r="H8" s="5">
        <f>IF($D$8&lt;&gt;"",$D$8, $D$7*CONVERT(1,"m/s","kn"))</f>
        <v>50</v>
      </c>
    </row>
    <row r="9" spans="1:8" x14ac:dyDescent="0.25">
      <c r="B9" s="5" t="s">
        <v>23</v>
      </c>
      <c r="C9" s="5" t="s">
        <v>19</v>
      </c>
      <c r="F9" s="5" t="s">
        <v>23</v>
      </c>
      <c r="G9" s="5" t="s">
        <v>19</v>
      </c>
      <c r="H9" s="7">
        <f>IF($D$9&lt;&gt;"",$D$9,$D$10*CONVERT(1,"kn","m/s"))</f>
        <v>30.866666666666667</v>
      </c>
    </row>
    <row r="10" spans="1:8" x14ac:dyDescent="0.25">
      <c r="C10" s="5" t="s">
        <v>9</v>
      </c>
      <c r="D10" s="5">
        <v>60</v>
      </c>
      <c r="G10" s="5" t="s">
        <v>28</v>
      </c>
      <c r="H10" s="5">
        <f>IF($D$10&lt;&gt;"",$D$10, $D$9*CONVERT(1,"m/s","kn"))</f>
        <v>60</v>
      </c>
    </row>
    <row r="11" spans="1:8" x14ac:dyDescent="0.25">
      <c r="B11" s="5" t="s">
        <v>87</v>
      </c>
      <c r="C11" s="5" t="s">
        <v>31</v>
      </c>
      <c r="D11" s="5">
        <v>5000</v>
      </c>
      <c r="E11" s="5" t="s">
        <v>94</v>
      </c>
      <c r="F11" s="5" t="s">
        <v>87</v>
      </c>
      <c r="G11" s="5" t="s">
        <v>31</v>
      </c>
      <c r="H11" s="5">
        <v>5000</v>
      </c>
    </row>
    <row r="12" spans="1:8" x14ac:dyDescent="0.25">
      <c r="B12" s="5" t="s">
        <v>98</v>
      </c>
      <c r="C12" s="5" t="s">
        <v>30</v>
      </c>
      <c r="F12" s="5" t="s">
        <v>32</v>
      </c>
      <c r="G12" s="5" t="s">
        <v>30</v>
      </c>
      <c r="H12" s="7">
        <f>IF($D$12&lt;&gt;"",$D$12,$D$13*CONVERT(1,"ft","m"))</f>
        <v>457.20000000000005</v>
      </c>
    </row>
    <row r="13" spans="1:8" x14ac:dyDescent="0.25">
      <c r="C13" s="5" t="s">
        <v>31</v>
      </c>
      <c r="D13" s="5">
        <v>1500</v>
      </c>
      <c r="G13" s="5" t="s">
        <v>31</v>
      </c>
      <c r="H13" s="7">
        <f>IF($D$13&lt;&gt;"",$D$13, $D$12*CONVERT(1,"m","ft"))</f>
        <v>1500</v>
      </c>
    </row>
    <row r="14" spans="1:8" x14ac:dyDescent="0.25">
      <c r="B14" s="5" t="s">
        <v>33</v>
      </c>
      <c r="C14" s="5" t="s">
        <v>30</v>
      </c>
      <c r="F14" s="5" t="s">
        <v>33</v>
      </c>
      <c r="G14" s="5" t="s">
        <v>30</v>
      </c>
      <c r="H14" s="7">
        <f>IF($D$14&lt;&gt;"",$D$14,$D$15*CONVERT(1,"ft","m"))</f>
        <v>304.8</v>
      </c>
    </row>
    <row r="15" spans="1:8" ht="43.5" x14ac:dyDescent="0.25">
      <c r="C15" s="5" t="s">
        <v>31</v>
      </c>
      <c r="D15" s="5">
        <v>1000</v>
      </c>
      <c r="E15" s="8" t="s">
        <v>97</v>
      </c>
      <c r="G15" s="5" t="s">
        <v>31</v>
      </c>
      <c r="H15" s="7">
        <f>IF($D$15&lt;&gt;"",$D$15, $D$14*CONVERT(1,"m","ft"))</f>
        <v>1000</v>
      </c>
    </row>
    <row r="16" spans="1:8" x14ac:dyDescent="0.25">
      <c r="B16" s="5" t="s">
        <v>34</v>
      </c>
      <c r="C16" s="5" t="s">
        <v>36</v>
      </c>
      <c r="F16" s="5" t="s">
        <v>34</v>
      </c>
    </row>
    <row r="17" spans="2:9" x14ac:dyDescent="0.25">
      <c r="C17" s="5" t="s">
        <v>37</v>
      </c>
      <c r="D17" s="5">
        <v>6500</v>
      </c>
    </row>
    <row r="18" spans="2:9" x14ac:dyDescent="0.25">
      <c r="B18" s="5" t="s">
        <v>35</v>
      </c>
      <c r="C18" s="5" t="s">
        <v>36</v>
      </c>
      <c r="F18" s="5" t="s">
        <v>35</v>
      </c>
    </row>
    <row r="19" spans="2:9" x14ac:dyDescent="0.25">
      <c r="C19" s="5" t="s">
        <v>37</v>
      </c>
      <c r="D19" s="5">
        <v>5900</v>
      </c>
    </row>
    <row r="20" spans="2:9" x14ac:dyDescent="0.25">
      <c r="B20" s="5" t="s">
        <v>38</v>
      </c>
      <c r="C20" s="5" t="s">
        <v>28</v>
      </c>
    </row>
    <row r="21" spans="2:9" ht="29" x14ac:dyDescent="0.25">
      <c r="B21" s="5" t="s">
        <v>39</v>
      </c>
      <c r="C21" s="5" t="s">
        <v>28</v>
      </c>
      <c r="E21" s="8" t="s">
        <v>95</v>
      </c>
    </row>
    <row r="22" spans="2:9" x14ac:dyDescent="0.25">
      <c r="B22" s="5" t="s">
        <v>40</v>
      </c>
      <c r="C22" s="5" t="s">
        <v>28</v>
      </c>
    </row>
    <row r="23" spans="2:9" x14ac:dyDescent="0.25">
      <c r="B23" s="5" t="s">
        <v>41</v>
      </c>
      <c r="C23" s="5" t="s">
        <v>28</v>
      </c>
    </row>
    <row r="24" spans="2:9" x14ac:dyDescent="0.25">
      <c r="B24" s="5" t="s">
        <v>42</v>
      </c>
      <c r="C24" s="5" t="s">
        <v>28</v>
      </c>
      <c r="D24" s="5">
        <f>1.3*D8</f>
        <v>65</v>
      </c>
    </row>
    <row r="25" spans="2:9" x14ac:dyDescent="0.25">
      <c r="B25" s="5" t="s">
        <v>43</v>
      </c>
      <c r="C25" s="5" t="s">
        <v>44</v>
      </c>
      <c r="D25" s="5">
        <v>14</v>
      </c>
    </row>
    <row r="26" spans="2:9" x14ac:dyDescent="0.25">
      <c r="B26" s="5" t="s">
        <v>45</v>
      </c>
    </row>
    <row r="27" spans="2:9" x14ac:dyDescent="0.25">
      <c r="B27" s="5" t="s">
        <v>46</v>
      </c>
      <c r="C27" s="5" t="s">
        <v>31</v>
      </c>
      <c r="D27" s="5">
        <v>30000</v>
      </c>
      <c r="I27" s="5" t="s">
        <v>47</v>
      </c>
    </row>
    <row r="28" spans="2:9" x14ac:dyDescent="0.25">
      <c r="B28" s="5" t="s">
        <v>48</v>
      </c>
      <c r="C28" s="5" t="s">
        <v>31</v>
      </c>
      <c r="D28" s="5">
        <v>1000</v>
      </c>
    </row>
    <row r="29" spans="2:9" x14ac:dyDescent="0.25">
      <c r="B29" s="5" t="s">
        <v>49</v>
      </c>
      <c r="C29" s="5" t="s">
        <v>31</v>
      </c>
      <c r="D29" s="5">
        <v>500</v>
      </c>
    </row>
    <row r="30" spans="2:9" x14ac:dyDescent="0.25">
      <c r="B30" s="5" t="s">
        <v>50</v>
      </c>
      <c r="C30" s="5" t="s">
        <v>28</v>
      </c>
      <c r="D30" s="5">
        <v>130</v>
      </c>
      <c r="I30" s="5" t="s">
        <v>52</v>
      </c>
    </row>
    <row r="31" spans="2:9" x14ac:dyDescent="0.25">
      <c r="B31" s="5" t="s">
        <v>51</v>
      </c>
      <c r="C31" s="5" t="s">
        <v>28</v>
      </c>
      <c r="D31" s="5">
        <v>145</v>
      </c>
    </row>
    <row r="32" spans="2:9" ht="43.5" x14ac:dyDescent="0.25">
      <c r="B32" s="5" t="s">
        <v>99</v>
      </c>
      <c r="C32" s="5" t="s">
        <v>100</v>
      </c>
      <c r="E32" s="8" t="s">
        <v>101</v>
      </c>
    </row>
    <row r="33" spans="2:9" x14ac:dyDescent="0.25">
      <c r="B33" s="5" t="s">
        <v>102</v>
      </c>
      <c r="C33" s="5" t="s">
        <v>100</v>
      </c>
    </row>
    <row r="34" spans="2:9" x14ac:dyDescent="0.25">
      <c r="B34" s="5" t="s">
        <v>3</v>
      </c>
    </row>
    <row r="35" spans="2:9" x14ac:dyDescent="0.25">
      <c r="B35" s="5" t="s">
        <v>4</v>
      </c>
    </row>
    <row r="36" spans="2:9" x14ac:dyDescent="0.25">
      <c r="B36" s="5" t="s">
        <v>5</v>
      </c>
    </row>
    <row r="37" spans="2:9" x14ac:dyDescent="0.25">
      <c r="B37" s="5" t="s">
        <v>6</v>
      </c>
    </row>
    <row r="38" spans="2:9" x14ac:dyDescent="0.25">
      <c r="B38" s="5" t="s">
        <v>2</v>
      </c>
    </row>
    <row r="39" spans="2:9" x14ac:dyDescent="0.25">
      <c r="B39" s="5" t="s">
        <v>1</v>
      </c>
    </row>
    <row r="41" spans="2:9" x14ac:dyDescent="0.25">
      <c r="B41" s="5" t="s">
        <v>53</v>
      </c>
      <c r="C41" s="5" t="s">
        <v>37</v>
      </c>
      <c r="D41" s="5">
        <v>300</v>
      </c>
    </row>
    <row r="42" spans="2:9" x14ac:dyDescent="0.25">
      <c r="B42" s="5" t="s">
        <v>54</v>
      </c>
      <c r="C42" s="5" t="s">
        <v>37</v>
      </c>
      <c r="D42" s="5">
        <v>465</v>
      </c>
    </row>
    <row r="43" spans="2:9" x14ac:dyDescent="0.25">
      <c r="B43" s="5" t="s">
        <v>55</v>
      </c>
      <c r="C43" s="5" t="s">
        <v>37</v>
      </c>
      <c r="D43" s="5">
        <v>3550</v>
      </c>
    </row>
    <row r="44" spans="2:9" x14ac:dyDescent="0.25">
      <c r="B44" s="5" t="s">
        <v>56</v>
      </c>
      <c r="C44" s="5" t="s">
        <v>58</v>
      </c>
      <c r="D44" s="5">
        <v>504</v>
      </c>
      <c r="I44" s="5" t="s">
        <v>57</v>
      </c>
    </row>
    <row r="45" spans="2:9" x14ac:dyDescent="0.25">
      <c r="B45" s="5" t="s">
        <v>59</v>
      </c>
      <c r="C45" s="5" t="s">
        <v>28</v>
      </c>
      <c r="D45" s="5">
        <v>145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B39F-AE70-43A3-B4F2-47E21227456F}">
  <dimension ref="A2:I76"/>
  <sheetViews>
    <sheetView topLeftCell="A49" zoomScale="85" zoomScaleNormal="85" workbookViewId="0">
      <selection activeCell="F65" sqref="F65"/>
    </sheetView>
  </sheetViews>
  <sheetFormatPr defaultRowHeight="14.5" x14ac:dyDescent="0.25"/>
  <cols>
    <col min="1" max="1" width="19.08984375" style="5" bestFit="1" customWidth="1"/>
    <col min="2" max="2" width="30.453125" style="9" bestFit="1" customWidth="1"/>
    <col min="3" max="3" width="14.26953125" style="9" bestFit="1" customWidth="1"/>
    <col min="4" max="5" width="8.7265625" style="9"/>
    <col min="6" max="8" width="8.7265625" style="9" customWidth="1"/>
    <col min="9" max="9" width="53.90625" style="5" customWidth="1"/>
    <col min="10" max="16384" width="8.7265625" style="5"/>
  </cols>
  <sheetData>
    <row r="2" spans="1:9" ht="58" x14ac:dyDescent="0.25">
      <c r="A2" s="10"/>
      <c r="B2" s="11"/>
      <c r="C2" s="11"/>
      <c r="D2" s="11"/>
      <c r="E2" s="68" t="s">
        <v>244</v>
      </c>
      <c r="F2" s="79" t="s">
        <v>245</v>
      </c>
      <c r="G2" s="80" t="s">
        <v>246</v>
      </c>
      <c r="H2" s="81" t="s">
        <v>247</v>
      </c>
      <c r="I2" s="10" t="s">
        <v>173</v>
      </c>
    </row>
    <row r="3" spans="1:9" x14ac:dyDescent="0.25">
      <c r="A3" s="87"/>
      <c r="B3" s="11" t="s">
        <v>149</v>
      </c>
      <c r="C3" s="11" t="s">
        <v>118</v>
      </c>
      <c r="D3" s="11" t="s">
        <v>108</v>
      </c>
      <c r="E3" s="11">
        <v>9.8066499999999994</v>
      </c>
      <c r="F3" s="11">
        <v>9.8066499999999994</v>
      </c>
      <c r="G3" s="11">
        <v>9.8066499999999994</v>
      </c>
      <c r="H3" s="11">
        <v>9.8066499999999994</v>
      </c>
      <c r="I3" s="10"/>
    </row>
    <row r="4" spans="1:9" x14ac:dyDescent="0.25">
      <c r="A4" s="88"/>
      <c r="B4" s="76" t="s">
        <v>121</v>
      </c>
      <c r="C4" s="11" t="s">
        <v>122</v>
      </c>
      <c r="D4" s="11" t="s">
        <v>100</v>
      </c>
      <c r="E4" s="11">
        <v>4000</v>
      </c>
      <c r="F4" s="11">
        <v>4000</v>
      </c>
      <c r="G4" s="11">
        <v>4000</v>
      </c>
      <c r="H4" s="11">
        <v>4000</v>
      </c>
      <c r="I4" s="10"/>
    </row>
    <row r="5" spans="1:9" x14ac:dyDescent="0.25">
      <c r="A5" s="88"/>
      <c r="B5" s="76" t="s">
        <v>120</v>
      </c>
      <c r="C5" s="11" t="s">
        <v>123</v>
      </c>
      <c r="D5" s="11" t="s">
        <v>119</v>
      </c>
      <c r="E5" s="14">
        <v>15</v>
      </c>
      <c r="F5" s="14">
        <v>15</v>
      </c>
      <c r="G5" s="14">
        <v>15</v>
      </c>
      <c r="H5" s="14">
        <v>15</v>
      </c>
      <c r="I5" s="10"/>
    </row>
    <row r="6" spans="1:9" x14ac:dyDescent="0.25">
      <c r="A6" s="89"/>
      <c r="B6" s="11" t="s">
        <v>151</v>
      </c>
      <c r="C6" s="11" t="s">
        <v>117</v>
      </c>
      <c r="D6" s="11" t="s">
        <v>110</v>
      </c>
      <c r="E6" s="11">
        <v>1.2250000000000001</v>
      </c>
      <c r="F6" s="11">
        <v>0.93100000000000005</v>
      </c>
      <c r="G6" s="11">
        <v>1.0880000000000001</v>
      </c>
      <c r="H6" s="11">
        <v>1.1579999999999999</v>
      </c>
      <c r="I6" s="10"/>
    </row>
    <row r="7" spans="1:9" x14ac:dyDescent="0.25">
      <c r="A7" s="87" t="s">
        <v>150</v>
      </c>
      <c r="B7" s="11" t="s">
        <v>240</v>
      </c>
      <c r="C7" s="11" t="s">
        <v>242</v>
      </c>
      <c r="D7" s="11"/>
      <c r="E7" s="17">
        <v>2.5000000000000001E-2</v>
      </c>
      <c r="F7" s="17">
        <v>2.5000000000000001E-2</v>
      </c>
      <c r="G7" s="17">
        <v>0.04</v>
      </c>
      <c r="H7" s="17">
        <v>0.05</v>
      </c>
      <c r="I7" s="10" t="s">
        <v>132</v>
      </c>
    </row>
    <row r="8" spans="1:9" x14ac:dyDescent="0.25">
      <c r="A8" s="88"/>
      <c r="B8" s="11" t="s">
        <v>241</v>
      </c>
      <c r="C8" s="11" t="s">
        <v>243</v>
      </c>
      <c r="D8" s="11"/>
      <c r="E8" s="17">
        <v>0.38</v>
      </c>
      <c r="F8" s="17">
        <v>0.38</v>
      </c>
      <c r="G8" s="17">
        <v>0.35</v>
      </c>
      <c r="H8" s="17">
        <v>0.25</v>
      </c>
      <c r="I8" s="10"/>
    </row>
    <row r="9" spans="1:9" x14ac:dyDescent="0.25">
      <c r="A9" s="87" t="s">
        <v>124</v>
      </c>
      <c r="B9" s="92" t="s">
        <v>249</v>
      </c>
      <c r="C9" s="11" t="s">
        <v>259</v>
      </c>
      <c r="D9" s="11" t="s">
        <v>104</v>
      </c>
      <c r="E9" s="35">
        <v>7000</v>
      </c>
      <c r="F9" s="35">
        <v>7000</v>
      </c>
      <c r="G9" s="35">
        <v>6500</v>
      </c>
      <c r="H9" s="35">
        <v>6500</v>
      </c>
      <c r="I9" s="10" t="s">
        <v>265</v>
      </c>
    </row>
    <row r="10" spans="1:9" x14ac:dyDescent="0.25">
      <c r="A10" s="88"/>
      <c r="B10" s="93"/>
      <c r="C10" s="11" t="s">
        <v>260</v>
      </c>
      <c r="D10" s="11" t="s">
        <v>10</v>
      </c>
      <c r="E10" s="15">
        <f t="shared" ref="E10:H10" si="0">E9*CONVERT(1,"lbm","kg")</f>
        <v>3175.1465900000003</v>
      </c>
      <c r="F10" s="15">
        <f t="shared" si="0"/>
        <v>3175.1465900000003</v>
      </c>
      <c r="G10" s="15">
        <f t="shared" si="0"/>
        <v>2948.3504050000001</v>
      </c>
      <c r="H10" s="15">
        <f t="shared" si="0"/>
        <v>2948.3504050000001</v>
      </c>
      <c r="I10" s="10"/>
    </row>
    <row r="11" spans="1:9" x14ac:dyDescent="0.25">
      <c r="A11" s="88"/>
      <c r="B11" s="94"/>
      <c r="C11" s="11" t="s">
        <v>261</v>
      </c>
      <c r="D11" s="11" t="s">
        <v>109</v>
      </c>
      <c r="E11" s="15">
        <f>E10*E3</f>
        <v>31137.551306823501</v>
      </c>
      <c r="F11" s="15">
        <f>F10*F3</f>
        <v>31137.551306823501</v>
      </c>
      <c r="G11" s="15">
        <f>G10*G3</f>
        <v>28913.44049919325</v>
      </c>
      <c r="H11" s="15">
        <f>H10*H3</f>
        <v>28913.44049919325</v>
      </c>
      <c r="I11" s="10"/>
    </row>
    <row r="12" spans="1:9" x14ac:dyDescent="0.25">
      <c r="A12" s="88"/>
      <c r="B12" s="92" t="s">
        <v>250</v>
      </c>
      <c r="C12" s="11" t="s">
        <v>262</v>
      </c>
      <c r="D12" s="11" t="s">
        <v>104</v>
      </c>
      <c r="E12" s="35">
        <v>6500</v>
      </c>
      <c r="F12" s="35">
        <v>6500</v>
      </c>
      <c r="G12" s="35">
        <v>5900</v>
      </c>
      <c r="H12" s="35">
        <v>5900</v>
      </c>
      <c r="I12" s="10" t="s">
        <v>266</v>
      </c>
    </row>
    <row r="13" spans="1:9" x14ac:dyDescent="0.25">
      <c r="A13" s="88"/>
      <c r="B13" s="93"/>
      <c r="C13" s="11" t="s">
        <v>263</v>
      </c>
      <c r="D13" s="11" t="s">
        <v>10</v>
      </c>
      <c r="E13" s="15">
        <f t="shared" ref="E13:H13" si="1">E12*CONVERT(1,"lbm","kg")</f>
        <v>2948.3504050000001</v>
      </c>
      <c r="F13" s="15">
        <f t="shared" si="1"/>
        <v>2948.3504050000001</v>
      </c>
      <c r="G13" s="15">
        <f t="shared" si="1"/>
        <v>2676.1949830000003</v>
      </c>
      <c r="H13" s="15">
        <f t="shared" si="1"/>
        <v>2676.1949830000003</v>
      </c>
      <c r="I13" s="10"/>
    </row>
    <row r="14" spans="1:9" x14ac:dyDescent="0.25">
      <c r="A14" s="89"/>
      <c r="B14" s="94"/>
      <c r="C14" s="11" t="s">
        <v>264</v>
      </c>
      <c r="D14" s="11" t="s">
        <v>109</v>
      </c>
      <c r="E14" s="15">
        <f>E13*E3</f>
        <v>28913.44049919325</v>
      </c>
      <c r="F14" s="15">
        <f>F13*F3</f>
        <v>28913.44049919325</v>
      </c>
      <c r="G14" s="15">
        <f>G13*G3</f>
        <v>26244.50753003695</v>
      </c>
      <c r="H14" s="15">
        <f>H13*H3</f>
        <v>26244.50753003695</v>
      </c>
      <c r="I14" s="10"/>
    </row>
    <row r="15" spans="1:9" x14ac:dyDescent="0.25">
      <c r="A15" s="87"/>
      <c r="B15" s="90" t="s">
        <v>252</v>
      </c>
      <c r="C15" s="11" t="s">
        <v>254</v>
      </c>
      <c r="D15" s="11" t="s">
        <v>105</v>
      </c>
      <c r="E15" s="14">
        <f>CONVERT(1,"m/sec","kn")*E16</f>
        <v>58.323024353866082</v>
      </c>
      <c r="F15" s="14">
        <f t="shared" ref="F15:H15" si="2">CONVERT(1,"m/sec","kn")*F16</f>
        <v>66.901097168464176</v>
      </c>
      <c r="G15" s="14">
        <f t="shared" si="2"/>
        <v>59.63500930003832</v>
      </c>
      <c r="H15" s="14">
        <f t="shared" si="2"/>
        <v>57.804474756915042</v>
      </c>
      <c r="I15" s="10" t="s">
        <v>248</v>
      </c>
    </row>
    <row r="16" spans="1:9" x14ac:dyDescent="0.25">
      <c r="A16" s="88"/>
      <c r="B16" s="91"/>
      <c r="C16" s="11" t="s">
        <v>255</v>
      </c>
      <c r="D16" s="11" t="s">
        <v>19</v>
      </c>
      <c r="E16" s="14">
        <f>SQRT(E11/(0.5*E6*E25*E34))</f>
        <v>30.003955862044442</v>
      </c>
      <c r="F16" s="14">
        <f>SQRT(F11/(0.5*F6*F25*F34))</f>
        <v>34.416897765554353</v>
      </c>
      <c r="G16" s="14">
        <f>SQRT(G11/(0.5*G6*G25*G34))</f>
        <v>30.678899228797494</v>
      </c>
      <c r="H16" s="14">
        <f>SQRT(H11/(0.5*H6*H25*H34))</f>
        <v>29.737190902724073</v>
      </c>
      <c r="I16" s="10" t="s">
        <v>258</v>
      </c>
    </row>
    <row r="17" spans="1:9" x14ac:dyDescent="0.25">
      <c r="A17" s="88"/>
      <c r="B17" s="90" t="s">
        <v>253</v>
      </c>
      <c r="C17" s="11" t="s">
        <v>256</v>
      </c>
      <c r="D17" s="11" t="s">
        <v>105</v>
      </c>
      <c r="E17" s="14">
        <f>CONVERT(1,"m/sec","kn")*E18</f>
        <v>56.201472532285599</v>
      </c>
      <c r="F17" s="14">
        <f t="shared" ref="F17" si="3">CONVERT(1,"m/sec","kn")*F18</f>
        <v>64.467510328002604</v>
      </c>
      <c r="G17" s="14">
        <f t="shared" ref="G17" si="4">CONVERT(1,"m/sec","kn")*G18</f>
        <v>56.815995272014696</v>
      </c>
      <c r="H17" s="14">
        <f t="shared" ref="H17" si="5">CONVERT(1,"m/sec","kn")*H18</f>
        <v>55.07199215760108</v>
      </c>
      <c r="I17" s="10"/>
    </row>
    <row r="18" spans="1:9" ht="14" customHeight="1" x14ac:dyDescent="0.25">
      <c r="A18" s="88"/>
      <c r="B18" s="91"/>
      <c r="C18" s="11" t="s">
        <v>257</v>
      </c>
      <c r="D18" s="11" t="s">
        <v>19</v>
      </c>
      <c r="E18" s="14">
        <f>SQRT(E14/(0.5*E6*E25*E34))</f>
        <v>28.91253531383137</v>
      </c>
      <c r="F18" s="14">
        <f>SQRT(F14/(0.5*F6*F25*F34))</f>
        <v>33.164952535405789</v>
      </c>
      <c r="G18" s="14">
        <f>SQRT(G14/(0.5*G6*G25*G34))</f>
        <v>29.228673123269783</v>
      </c>
      <c r="H18" s="14">
        <f>SQRT(H14/(0.5*H6*H25*H34))</f>
        <v>28.331480409965891</v>
      </c>
      <c r="I18" s="10" t="s">
        <v>268</v>
      </c>
    </row>
    <row r="19" spans="1:9" x14ac:dyDescent="0.25">
      <c r="A19" s="88"/>
      <c r="B19" s="76" t="s">
        <v>135</v>
      </c>
      <c r="C19" s="11"/>
      <c r="D19" s="11"/>
      <c r="E19" s="11">
        <v>1.1000000000000001</v>
      </c>
      <c r="F19" s="11">
        <v>1.1000000000000001</v>
      </c>
      <c r="G19" s="11">
        <v>1.1000000000000001</v>
      </c>
      <c r="H19" s="11">
        <v>1.1000000000000001</v>
      </c>
      <c r="I19" s="10"/>
    </row>
    <row r="20" spans="1:9" x14ac:dyDescent="0.25">
      <c r="A20" s="88"/>
      <c r="B20" s="95" t="s">
        <v>267</v>
      </c>
      <c r="C20" s="11" t="s">
        <v>131</v>
      </c>
      <c r="D20" s="11" t="s">
        <v>105</v>
      </c>
      <c r="E20" s="14">
        <f>CONVERT(1,"m/sec","kn")*E21</f>
        <v>64.155326789252697</v>
      </c>
      <c r="F20" s="14">
        <f t="shared" ref="F20" si="6">CONVERT(1,"m/sec","kn")*F21</f>
        <v>73.591206885310598</v>
      </c>
      <c r="G20" s="14">
        <f t="shared" ref="G20" si="7">CONVERT(1,"m/sec","kn")*G21</f>
        <v>65.598510230042166</v>
      </c>
      <c r="H20" s="14">
        <f t="shared" ref="H20" si="8">CONVERT(1,"m/sec","kn")*H21</f>
        <v>63.584922232606552</v>
      </c>
      <c r="I20" s="10"/>
    </row>
    <row r="21" spans="1:9" x14ac:dyDescent="0.25">
      <c r="A21" s="88"/>
      <c r="B21" s="95"/>
      <c r="C21" s="11" t="s">
        <v>116</v>
      </c>
      <c r="D21" s="11" t="s">
        <v>19</v>
      </c>
      <c r="E21" s="14">
        <f>E16*E19</f>
        <v>33.00435144824889</v>
      </c>
      <c r="F21" s="14">
        <f t="shared" ref="F21:H21" si="9">F16*F19</f>
        <v>37.858587542109788</v>
      </c>
      <c r="G21" s="14">
        <f t="shared" si="9"/>
        <v>33.746789151677248</v>
      </c>
      <c r="H21" s="14">
        <f t="shared" si="9"/>
        <v>32.710909992996484</v>
      </c>
      <c r="I21" s="10" t="s">
        <v>269</v>
      </c>
    </row>
    <row r="22" spans="1:9" x14ac:dyDescent="0.25">
      <c r="A22" s="88"/>
      <c r="B22" s="95" t="s">
        <v>273</v>
      </c>
      <c r="C22" s="11" t="s">
        <v>270</v>
      </c>
      <c r="D22" s="11" t="s">
        <v>105</v>
      </c>
      <c r="E22" s="14">
        <f>CONVERT(1,"m/sec","kn")*E23</f>
        <v>61.821619785514159</v>
      </c>
      <c r="F22" s="14">
        <f t="shared" ref="F22" si="10">CONVERT(1,"m/sec","kn")*F23</f>
        <v>70.914261360802868</v>
      </c>
      <c r="G22" s="14">
        <f t="shared" ref="G22" si="11">CONVERT(1,"m/sec","kn")*G23</f>
        <v>62.497594799216166</v>
      </c>
      <c r="H22" s="14">
        <f t="shared" ref="H22" si="12">CONVERT(1,"m/sec","kn")*H23</f>
        <v>60.579191373361191</v>
      </c>
      <c r="I22" s="10"/>
    </row>
    <row r="23" spans="1:9" x14ac:dyDescent="0.25">
      <c r="A23" s="88"/>
      <c r="B23" s="95"/>
      <c r="C23" s="11" t="s">
        <v>271</v>
      </c>
      <c r="D23" s="11" t="s">
        <v>19</v>
      </c>
      <c r="E23" s="14">
        <f>E18*E19</f>
        <v>31.803788845214509</v>
      </c>
      <c r="F23" s="14">
        <f t="shared" ref="F23:H23" si="13">F18*F19</f>
        <v>36.481447788946369</v>
      </c>
      <c r="G23" s="14">
        <f t="shared" si="13"/>
        <v>32.151540435596765</v>
      </c>
      <c r="H23" s="14">
        <f t="shared" si="13"/>
        <v>31.164628450962482</v>
      </c>
      <c r="I23" s="10" t="s">
        <v>272</v>
      </c>
    </row>
    <row r="24" spans="1:9" x14ac:dyDescent="0.25">
      <c r="A24" s="95" t="s">
        <v>125</v>
      </c>
      <c r="B24" s="95" t="s">
        <v>111</v>
      </c>
      <c r="C24" s="11" t="s">
        <v>114</v>
      </c>
      <c r="D24" s="11" t="s">
        <v>115</v>
      </c>
      <c r="E24" s="16">
        <v>276.5</v>
      </c>
      <c r="F24" s="16">
        <v>276.5</v>
      </c>
      <c r="G24" s="16">
        <v>276.5</v>
      </c>
      <c r="H24" s="16">
        <v>276.5</v>
      </c>
      <c r="I24" s="10"/>
    </row>
    <row r="25" spans="1:9" x14ac:dyDescent="0.25">
      <c r="A25" s="95"/>
      <c r="B25" s="95"/>
      <c r="C25" s="11" t="s">
        <v>113</v>
      </c>
      <c r="D25" s="11" t="s">
        <v>112</v>
      </c>
      <c r="E25" s="17">
        <f t="shared" ref="E25:H25" si="14">E24*CONVERT(1,"ft","m")^2</f>
        <v>25.68769056</v>
      </c>
      <c r="F25" s="17">
        <f t="shared" si="14"/>
        <v>25.68769056</v>
      </c>
      <c r="G25" s="17">
        <f t="shared" si="14"/>
        <v>25.68769056</v>
      </c>
      <c r="H25" s="17">
        <f t="shared" si="14"/>
        <v>25.68769056</v>
      </c>
      <c r="I25" s="10"/>
    </row>
    <row r="26" spans="1:9" x14ac:dyDescent="0.25">
      <c r="A26" s="95"/>
      <c r="B26" s="87" t="s">
        <v>144</v>
      </c>
      <c r="C26" s="11" t="s">
        <v>145</v>
      </c>
      <c r="D26" s="11" t="s">
        <v>100</v>
      </c>
      <c r="E26" s="16">
        <v>55.3</v>
      </c>
      <c r="F26" s="16">
        <v>55.3</v>
      </c>
      <c r="G26" s="16">
        <v>55.3</v>
      </c>
      <c r="H26" s="16">
        <v>55.3</v>
      </c>
      <c r="I26" s="10"/>
    </row>
    <row r="27" spans="1:9" x14ac:dyDescent="0.25">
      <c r="A27" s="95"/>
      <c r="B27" s="89"/>
      <c r="C27" s="11" t="s">
        <v>146</v>
      </c>
      <c r="D27" s="11" t="s">
        <v>106</v>
      </c>
      <c r="E27" s="17">
        <f t="shared" ref="E27:H27" si="15">E26*CONVERT(1,"ft","m")</f>
        <v>16.855440000000002</v>
      </c>
      <c r="F27" s="17">
        <f t="shared" si="15"/>
        <v>16.855440000000002</v>
      </c>
      <c r="G27" s="17">
        <f t="shared" si="15"/>
        <v>16.855440000000002</v>
      </c>
      <c r="H27" s="17">
        <f t="shared" si="15"/>
        <v>16.855440000000002</v>
      </c>
      <c r="I27" s="10"/>
    </row>
    <row r="28" spans="1:9" x14ac:dyDescent="0.25">
      <c r="A28" s="95"/>
      <c r="B28" s="90" t="s">
        <v>152</v>
      </c>
      <c r="C28" s="75" t="s">
        <v>140</v>
      </c>
      <c r="D28" s="75" t="s">
        <v>100</v>
      </c>
      <c r="E28" s="77">
        <v>5</v>
      </c>
      <c r="F28" s="77">
        <v>5</v>
      </c>
      <c r="G28" s="77">
        <v>5</v>
      </c>
      <c r="H28" s="77">
        <v>5</v>
      </c>
      <c r="I28" s="10"/>
    </row>
    <row r="29" spans="1:9" x14ac:dyDescent="0.25">
      <c r="A29" s="95"/>
      <c r="B29" s="91"/>
      <c r="C29" s="75" t="s">
        <v>141</v>
      </c>
      <c r="D29" s="75" t="s">
        <v>106</v>
      </c>
      <c r="E29" s="75">
        <f t="shared" ref="E29:H29" si="16">E28*CONVERT(1,"ft","m")</f>
        <v>1.524</v>
      </c>
      <c r="F29" s="75">
        <f t="shared" si="16"/>
        <v>1.524</v>
      </c>
      <c r="G29" s="75">
        <f t="shared" si="16"/>
        <v>1.524</v>
      </c>
      <c r="H29" s="75">
        <f t="shared" si="16"/>
        <v>1.524</v>
      </c>
      <c r="I29" s="10"/>
    </row>
    <row r="30" spans="1:9" x14ac:dyDescent="0.25">
      <c r="A30" s="95"/>
      <c r="B30" s="12" t="s">
        <v>142</v>
      </c>
      <c r="C30" s="11" t="s">
        <v>143</v>
      </c>
      <c r="D30" s="11" t="s">
        <v>18</v>
      </c>
      <c r="E30" s="11">
        <f t="shared" ref="E30:H30" si="17">E27^2/E25</f>
        <v>11.06</v>
      </c>
      <c r="F30" s="11">
        <f t="shared" si="17"/>
        <v>11.06</v>
      </c>
      <c r="G30" s="11">
        <f t="shared" si="17"/>
        <v>11.06</v>
      </c>
      <c r="H30" s="11">
        <f t="shared" si="17"/>
        <v>11.06</v>
      </c>
      <c r="I30" s="10"/>
    </row>
    <row r="31" spans="1:9" x14ac:dyDescent="0.25">
      <c r="A31" s="95"/>
      <c r="B31" s="74" t="s">
        <v>126</v>
      </c>
      <c r="C31" s="74" t="s">
        <v>129</v>
      </c>
      <c r="D31" s="74" t="s">
        <v>127</v>
      </c>
      <c r="E31" s="74">
        <v>10</v>
      </c>
      <c r="F31" s="74">
        <v>10</v>
      </c>
      <c r="G31" s="74">
        <v>10</v>
      </c>
      <c r="H31" s="74">
        <v>10</v>
      </c>
      <c r="I31" s="10"/>
    </row>
    <row r="32" spans="1:9" x14ac:dyDescent="0.25">
      <c r="A32" s="95"/>
      <c r="B32" s="74" t="s">
        <v>128</v>
      </c>
      <c r="C32" s="74" t="s">
        <v>130</v>
      </c>
      <c r="D32" s="74" t="s">
        <v>127</v>
      </c>
      <c r="E32" s="74">
        <v>30</v>
      </c>
      <c r="F32" s="74">
        <v>30</v>
      </c>
      <c r="G32" s="74">
        <v>30</v>
      </c>
      <c r="H32" s="74">
        <v>30</v>
      </c>
      <c r="I32" s="10"/>
    </row>
    <row r="33" spans="1:9" x14ac:dyDescent="0.25">
      <c r="A33" s="95"/>
      <c r="B33" s="76" t="s">
        <v>137</v>
      </c>
      <c r="C33" s="11" t="s">
        <v>147</v>
      </c>
      <c r="D33" s="11" t="s">
        <v>18</v>
      </c>
      <c r="E33" s="16">
        <v>2.66</v>
      </c>
      <c r="F33" s="16">
        <v>2.66</v>
      </c>
      <c r="G33" s="16">
        <v>2.66</v>
      </c>
      <c r="H33" s="16">
        <v>2.66</v>
      </c>
      <c r="I33" s="10" t="s">
        <v>153</v>
      </c>
    </row>
    <row r="34" spans="1:9" x14ac:dyDescent="0.25">
      <c r="A34" s="95"/>
      <c r="B34" s="76" t="s">
        <v>154</v>
      </c>
      <c r="C34" s="11" t="s">
        <v>154</v>
      </c>
      <c r="D34" s="11"/>
      <c r="E34" s="16">
        <f>E33/E19^2</f>
        <v>2.1983471074380163</v>
      </c>
      <c r="F34" s="16">
        <f>F33/F19^2</f>
        <v>2.1983471074380163</v>
      </c>
      <c r="G34" s="16">
        <f>G33/G19^2</f>
        <v>2.1983471074380163</v>
      </c>
      <c r="H34" s="16">
        <f>H33/H19^2</f>
        <v>2.1983471074380163</v>
      </c>
      <c r="I34" s="10" t="s">
        <v>155</v>
      </c>
    </row>
    <row r="35" spans="1:9" x14ac:dyDescent="0.25">
      <c r="A35" s="95"/>
      <c r="B35" s="11" t="s">
        <v>136</v>
      </c>
      <c r="C35" s="11" t="s">
        <v>148</v>
      </c>
      <c r="D35" s="11" t="s">
        <v>18</v>
      </c>
      <c r="E35" s="11">
        <v>0.05</v>
      </c>
      <c r="F35" s="11">
        <v>0.05</v>
      </c>
      <c r="G35" s="11">
        <v>0.05</v>
      </c>
      <c r="H35" s="11">
        <v>0.05</v>
      </c>
      <c r="I35" s="10" t="s">
        <v>251</v>
      </c>
    </row>
    <row r="36" spans="1:9" x14ac:dyDescent="0.25">
      <c r="A36" s="95"/>
      <c r="B36" s="12" t="s">
        <v>236</v>
      </c>
      <c r="C36" s="11" t="s">
        <v>235</v>
      </c>
      <c r="D36" s="11"/>
      <c r="E36" s="16">
        <v>0.8</v>
      </c>
      <c r="F36" s="16">
        <v>0.8</v>
      </c>
      <c r="G36" s="16">
        <v>0.8</v>
      </c>
      <c r="H36" s="16">
        <v>0.8</v>
      </c>
      <c r="I36" s="10"/>
    </row>
    <row r="37" spans="1:9" x14ac:dyDescent="0.25">
      <c r="A37" s="95"/>
      <c r="B37" s="11" t="s">
        <v>239</v>
      </c>
      <c r="C37" s="11" t="s">
        <v>172</v>
      </c>
      <c r="D37" s="11" t="s">
        <v>18</v>
      </c>
      <c r="E37" s="17">
        <f>1/(PI()*E36*E30)</f>
        <v>3.5975348800157174E-2</v>
      </c>
      <c r="F37" s="17">
        <f>1/(PI()*F36*F30)</f>
        <v>3.5975348800157174E-2</v>
      </c>
      <c r="G37" s="17">
        <f>1/(PI()*G36*G30)</f>
        <v>3.5975348800157174E-2</v>
      </c>
      <c r="H37" s="17">
        <f>1/(PI()*H36*H30)</f>
        <v>3.5975348800157174E-2</v>
      </c>
      <c r="I37" s="10" t="s">
        <v>139</v>
      </c>
    </row>
    <row r="38" spans="1:9" x14ac:dyDescent="0.25">
      <c r="A38" s="95"/>
      <c r="B38" s="11" t="s">
        <v>307</v>
      </c>
      <c r="C38" s="11" t="s">
        <v>307</v>
      </c>
      <c r="D38" s="11" t="s">
        <v>18</v>
      </c>
      <c r="E38" s="17">
        <f>E35+E37*E34^2</f>
        <v>0.22385914757898506</v>
      </c>
      <c r="F38" s="17">
        <f>F35+F37*F34^2</f>
        <v>0.22385914757898506</v>
      </c>
      <c r="G38" s="17">
        <f>G35+G37*G34^2</f>
        <v>0.22385914757898506</v>
      </c>
      <c r="H38" s="17">
        <f>H35+H37*H34^2</f>
        <v>0.22385914757898506</v>
      </c>
      <c r="I38" s="10" t="s">
        <v>308</v>
      </c>
    </row>
    <row r="39" spans="1:9" x14ac:dyDescent="0.25">
      <c r="A39" s="95"/>
      <c r="B39" s="87" t="s">
        <v>138</v>
      </c>
      <c r="C39" s="11" t="s">
        <v>161</v>
      </c>
      <c r="D39" s="11" t="s">
        <v>133</v>
      </c>
      <c r="E39" s="35">
        <v>1648.7</v>
      </c>
      <c r="F39" s="35">
        <v>999.4</v>
      </c>
      <c r="G39" s="35">
        <v>1345.8</v>
      </c>
      <c r="H39" s="35">
        <v>1598.6</v>
      </c>
      <c r="I39" s="10"/>
    </row>
    <row r="40" spans="1:9" x14ac:dyDescent="0.25">
      <c r="A40" s="95"/>
      <c r="B40" s="89"/>
      <c r="C40" s="11" t="s">
        <v>162</v>
      </c>
      <c r="D40" s="11" t="s">
        <v>109</v>
      </c>
      <c r="E40" s="15">
        <f t="shared" ref="E40:H40" si="18">E39*CONVERT(1,"lbf","N")</f>
        <v>7333.7829770799872</v>
      </c>
      <c r="F40" s="15">
        <f t="shared" si="18"/>
        <v>4445.5526822913444</v>
      </c>
      <c r="G40" s="15">
        <f t="shared" si="18"/>
        <v>5986.4166498175819</v>
      </c>
      <c r="H40" s="15">
        <f t="shared" si="18"/>
        <v>7110.9270741554355</v>
      </c>
      <c r="I40" s="10"/>
    </row>
    <row r="41" spans="1:9" x14ac:dyDescent="0.25">
      <c r="A41" s="95"/>
      <c r="B41" s="11" t="s">
        <v>159</v>
      </c>
      <c r="C41" s="11" t="s">
        <v>160</v>
      </c>
      <c r="D41" s="11" t="s">
        <v>109</v>
      </c>
      <c r="E41" s="15"/>
      <c r="F41" s="15"/>
      <c r="G41" s="15"/>
      <c r="H41" s="15"/>
      <c r="I41" s="10"/>
    </row>
    <row r="42" spans="1:9" x14ac:dyDescent="0.25">
      <c r="A42" s="88"/>
      <c r="B42" s="11" t="s">
        <v>274</v>
      </c>
      <c r="C42" s="11" t="s">
        <v>276</v>
      </c>
      <c r="D42" s="11" t="s">
        <v>109</v>
      </c>
      <c r="E42" s="15">
        <f>0.5*E6*E21^2*(E35+E37*E34^2)</f>
        <v>149.3562307280051</v>
      </c>
      <c r="F42" s="15">
        <f>0.5*F6*F21^2*(F35+F37*F34^2)</f>
        <v>149.35623072800513</v>
      </c>
      <c r="G42" s="15">
        <f>0.5*G6*G21^2*(G35+G37*G34^2)</f>
        <v>138.68792853314764</v>
      </c>
      <c r="H42" s="15">
        <f>0.5*H6*H21^2*(H35+H37*H34^2)</f>
        <v>138.68792853314761</v>
      </c>
      <c r="I42" s="10"/>
    </row>
    <row r="43" spans="1:9" x14ac:dyDescent="0.25">
      <c r="A43" s="88"/>
      <c r="B43" s="11" t="s">
        <v>275</v>
      </c>
      <c r="C43" s="11" t="s">
        <v>277</v>
      </c>
      <c r="D43" s="11" t="s">
        <v>109</v>
      </c>
      <c r="E43" s="15">
        <f>0.5*E6*E23^2*(E35+E37*E34^2)</f>
        <v>138.68792853314758</v>
      </c>
      <c r="F43" s="15">
        <f>0.5*F6*F23^2*(F35+F37*F34^2)</f>
        <v>138.68792853314761</v>
      </c>
      <c r="G43" s="15">
        <f>0.5*G6*G23^2*(G35+G37*G34^2)</f>
        <v>125.88596589931861</v>
      </c>
      <c r="H43" s="15">
        <f>0.5*H6*H23^2*(H35+H37*H34^2)</f>
        <v>125.88596589931861</v>
      </c>
      <c r="I43" s="10"/>
    </row>
    <row r="44" spans="1:9" x14ac:dyDescent="0.25">
      <c r="A44" s="88"/>
      <c r="B44" s="11" t="s">
        <v>286</v>
      </c>
      <c r="C44" s="11" t="s">
        <v>134</v>
      </c>
      <c r="D44" s="11"/>
      <c r="E44" s="17">
        <f>E40/E11-E7</f>
        <v>0.21052857142857145</v>
      </c>
      <c r="F44" s="17">
        <f>F40/F11-F7</f>
        <v>0.11777142857142858</v>
      </c>
      <c r="G44" s="17">
        <f>G40/G11-G7</f>
        <v>0.16704615384615387</v>
      </c>
      <c r="H44" s="17">
        <f>H40/H11-H7</f>
        <v>0.19593846153846156</v>
      </c>
      <c r="I44" s="10" t="s">
        <v>327</v>
      </c>
    </row>
    <row r="45" spans="1:9" x14ac:dyDescent="0.25">
      <c r="A45" s="88"/>
      <c r="B45" s="11" t="s">
        <v>288</v>
      </c>
      <c r="C45" s="11" t="s">
        <v>107</v>
      </c>
      <c r="D45" s="11"/>
      <c r="E45" s="18">
        <f>E6/(2*E11/E25)*(-E35-E37*E34^2+E7*E34)</f>
        <v>-8.5344896424909523E-5</v>
      </c>
      <c r="F45" s="18">
        <f>F6/(2*F11/F25)*(-F35-F37*F34^2+F7*F34)</f>
        <v>-6.4862121282931252E-5</v>
      </c>
      <c r="G45" s="18">
        <f>G6/(2*G11/G25)*(-G35-G37*G34^2+G7*G34)</f>
        <v>-6.569379800344644E-5</v>
      </c>
      <c r="H45" s="18">
        <f>H6/(2*H11/H25)*(-H35-H37*H34^2+H7*H34)</f>
        <v>-5.8612048212882499E-5</v>
      </c>
      <c r="I45" s="10" t="s">
        <v>328</v>
      </c>
    </row>
    <row r="46" spans="1:9" x14ac:dyDescent="0.25">
      <c r="A46" s="88"/>
      <c r="B46" s="11" t="s">
        <v>289</v>
      </c>
      <c r="C46" s="11" t="s">
        <v>134</v>
      </c>
      <c r="D46" s="11"/>
      <c r="E46" s="17">
        <f>-E41/E14-E8</f>
        <v>-0.38</v>
      </c>
      <c r="F46" s="17">
        <f>-F41/F14-F8</f>
        <v>-0.38</v>
      </c>
      <c r="G46" s="17">
        <f>-G41/G14-G8</f>
        <v>-0.35</v>
      </c>
      <c r="H46" s="17">
        <f>-H41/H14-H8</f>
        <v>-0.25</v>
      </c>
      <c r="I46" s="10" t="s">
        <v>295</v>
      </c>
    </row>
    <row r="47" spans="1:9" x14ac:dyDescent="0.25">
      <c r="A47" s="88"/>
      <c r="B47" s="11" t="s">
        <v>287</v>
      </c>
      <c r="C47" s="11" t="s">
        <v>107</v>
      </c>
      <c r="D47" s="11"/>
      <c r="E47" s="18">
        <f>E6/(2*E14/E25)*(-E35-E37*E34^2+E8*E34)</f>
        <v>3.3276443207627053E-4</v>
      </c>
      <c r="F47" s="18">
        <f>F6/(2*F14/F25)*(-F35-F37*F34^2+F8*F34)</f>
        <v>2.5290096837796556E-4</v>
      </c>
      <c r="G47" s="18">
        <f>G6/(2*G14/G25)*(-G35-G37*G34^2+G8*G34)</f>
        <v>2.9048915039834618E-4</v>
      </c>
      <c r="H47" s="18">
        <f>H6/(2*H14/H25)*(-H35-H37*H34^2+H8*H34)</f>
        <v>1.8459494130845257E-4</v>
      </c>
      <c r="I47" s="10" t="s">
        <v>329</v>
      </c>
    </row>
    <row r="48" spans="1:9" x14ac:dyDescent="0.25">
      <c r="A48" s="88"/>
      <c r="B48" s="73" t="s">
        <v>278</v>
      </c>
      <c r="C48" s="11" t="s">
        <v>300</v>
      </c>
      <c r="D48" s="11" t="s">
        <v>19</v>
      </c>
      <c r="E48" s="14">
        <f>0</f>
        <v>0</v>
      </c>
      <c r="F48" s="14">
        <f>0</f>
        <v>0</v>
      </c>
      <c r="G48" s="14">
        <f>0</f>
        <v>0</v>
      </c>
      <c r="H48" s="14">
        <f>0</f>
        <v>0</v>
      </c>
      <c r="I48" s="10"/>
    </row>
    <row r="49" spans="1:9" x14ac:dyDescent="0.25">
      <c r="A49" s="88"/>
      <c r="B49" s="73" t="s">
        <v>279</v>
      </c>
      <c r="C49" s="11" t="s">
        <v>301</v>
      </c>
      <c r="D49" s="11" t="s">
        <v>19</v>
      </c>
      <c r="E49" s="14">
        <f>E21</f>
        <v>33.00435144824889</v>
      </c>
      <c r="F49" s="14">
        <f t="shared" ref="F49:H49" si="19">F21</f>
        <v>37.858587542109788</v>
      </c>
      <c r="G49" s="14">
        <f t="shared" si="19"/>
        <v>33.746789151677248</v>
      </c>
      <c r="H49" s="14">
        <f t="shared" si="19"/>
        <v>32.710909992996484</v>
      </c>
      <c r="I49" s="10"/>
    </row>
    <row r="50" spans="1:9" x14ac:dyDescent="0.25">
      <c r="A50" s="88"/>
      <c r="B50" s="73" t="s">
        <v>280</v>
      </c>
      <c r="C50" s="11" t="s">
        <v>302</v>
      </c>
      <c r="D50" s="11" t="s">
        <v>19</v>
      </c>
      <c r="E50" s="14">
        <f>E23</f>
        <v>31.803788845214509</v>
      </c>
      <c r="F50" s="14">
        <f>F23</f>
        <v>36.481447788946369</v>
      </c>
      <c r="G50" s="14">
        <f>G23</f>
        <v>32.151540435596765</v>
      </c>
      <c r="H50" s="14">
        <f>H23</f>
        <v>31.164628450962482</v>
      </c>
      <c r="I50" s="10"/>
    </row>
    <row r="51" spans="1:9" x14ac:dyDescent="0.25">
      <c r="A51" s="88"/>
      <c r="B51" s="73" t="s">
        <v>281</v>
      </c>
      <c r="C51" s="11" t="s">
        <v>303</v>
      </c>
      <c r="D51" s="11" t="s">
        <v>19</v>
      </c>
      <c r="E51" s="14">
        <f>0</f>
        <v>0</v>
      </c>
      <c r="F51" s="14">
        <f>0</f>
        <v>0</v>
      </c>
      <c r="G51" s="14">
        <f>0</f>
        <v>0</v>
      </c>
      <c r="H51" s="14">
        <f>0</f>
        <v>0</v>
      </c>
      <c r="I51" s="10"/>
    </row>
    <row r="52" spans="1:9" x14ac:dyDescent="0.25">
      <c r="A52" s="88"/>
      <c r="B52" s="73" t="s">
        <v>282</v>
      </c>
      <c r="C52" s="11" t="s">
        <v>296</v>
      </c>
      <c r="D52" s="11" t="s">
        <v>109</v>
      </c>
      <c r="E52" s="18">
        <f>E40-E7*E11</f>
        <v>6555.3441944093993</v>
      </c>
      <c r="F52" s="18">
        <f>F40-F7*F11</f>
        <v>3667.1138996207569</v>
      </c>
      <c r="G52" s="18">
        <f>G40-G7*G11</f>
        <v>4829.8790298498516</v>
      </c>
      <c r="H52" s="18">
        <f>H40-H7*H11</f>
        <v>5665.2550491957727</v>
      </c>
      <c r="I52" s="10" t="s">
        <v>316</v>
      </c>
    </row>
    <row r="53" spans="1:9" x14ac:dyDescent="0.25">
      <c r="A53" s="88"/>
      <c r="B53" s="73" t="s">
        <v>284</v>
      </c>
      <c r="C53" s="11" t="s">
        <v>297</v>
      </c>
      <c r="D53" s="11" t="s">
        <v>109</v>
      </c>
      <c r="E53" s="18">
        <f>E40-E42</f>
        <v>7184.4267463519818</v>
      </c>
      <c r="F53" s="18">
        <f>F40-F42</f>
        <v>4296.196451563339</v>
      </c>
      <c r="G53" s="18">
        <f>G40-G42</f>
        <v>5847.728721284434</v>
      </c>
      <c r="H53" s="18">
        <f>H40-H42</f>
        <v>6972.2391456222877</v>
      </c>
      <c r="I53" s="10" t="s">
        <v>319</v>
      </c>
    </row>
    <row r="54" spans="1:9" x14ac:dyDescent="0.25">
      <c r="A54" s="88"/>
      <c r="B54" s="73" t="s">
        <v>285</v>
      </c>
      <c r="C54" s="11" t="s">
        <v>298</v>
      </c>
      <c r="D54" s="11" t="s">
        <v>109</v>
      </c>
      <c r="E54" s="18">
        <f>E41+E8*E14</f>
        <v>10987.107389693436</v>
      </c>
      <c r="F54" s="18">
        <f>F41+F8*F14</f>
        <v>10987.107389693436</v>
      </c>
      <c r="G54" s="18">
        <f>G41+G8*G14</f>
        <v>9185.577635512931</v>
      </c>
      <c r="H54" s="18">
        <f>H41+H8*H14</f>
        <v>6561.1268825092375</v>
      </c>
      <c r="I54" s="10" t="s">
        <v>317</v>
      </c>
    </row>
    <row r="55" spans="1:9" x14ac:dyDescent="0.25">
      <c r="A55" s="88"/>
      <c r="B55" s="73" t="s">
        <v>283</v>
      </c>
      <c r="C55" s="11" t="s">
        <v>299</v>
      </c>
      <c r="D55" s="11" t="s">
        <v>109</v>
      </c>
      <c r="E55" s="18">
        <f>E41+E43</f>
        <v>138.68792853314758</v>
      </c>
      <c r="F55" s="18">
        <f>F41+F43</f>
        <v>138.68792853314761</v>
      </c>
      <c r="G55" s="18">
        <f>G41+G43</f>
        <v>125.88596589931861</v>
      </c>
      <c r="H55" s="18">
        <f>H41+H43</f>
        <v>125.88596589931861</v>
      </c>
      <c r="I55" s="10" t="s">
        <v>318</v>
      </c>
    </row>
    <row r="56" spans="1:9" x14ac:dyDescent="0.25">
      <c r="A56" s="88"/>
      <c r="B56" s="73" t="s">
        <v>304</v>
      </c>
      <c r="C56" s="11" t="s">
        <v>304</v>
      </c>
      <c r="D56" s="11" t="s">
        <v>109</v>
      </c>
      <c r="E56" s="18">
        <f>E40-E7*E11</f>
        <v>6555.3441944093993</v>
      </c>
      <c r="F56" s="18">
        <f>F40-F7*F11</f>
        <v>3667.1138996207569</v>
      </c>
      <c r="G56" s="18">
        <f>G40-G7*G11</f>
        <v>4829.8790298498516</v>
      </c>
      <c r="H56" s="18">
        <f>H40-H7*H11</f>
        <v>5665.2550491957727</v>
      </c>
      <c r="I56" s="10" t="s">
        <v>305</v>
      </c>
    </row>
    <row r="57" spans="1:9" x14ac:dyDescent="0.25">
      <c r="A57" s="88"/>
      <c r="B57" s="73" t="s">
        <v>306</v>
      </c>
      <c r="C57" s="11" t="s">
        <v>306</v>
      </c>
      <c r="D57" s="11" t="s">
        <v>109</v>
      </c>
      <c r="E57" s="18">
        <f>0.5*E6*E25*(E38-E7*E34)</f>
        <v>2.6574310912061585</v>
      </c>
      <c r="F57" s="18">
        <f>0.5*F6*F25*(F38-F7*F34)</f>
        <v>2.0196476293166801</v>
      </c>
      <c r="G57" s="18">
        <f>0.5*G6*G25*(G38-G7*G34)</f>
        <v>1.899433719738669</v>
      </c>
      <c r="H57" s="18">
        <f>0.5*H6*H25*(H38-H7*H34)</f>
        <v>1.694675968539024</v>
      </c>
      <c r="I57" s="10" t="s">
        <v>314</v>
      </c>
    </row>
    <row r="58" spans="1:9" x14ac:dyDescent="0.25">
      <c r="A58" s="88"/>
      <c r="B58" s="73" t="s">
        <v>311</v>
      </c>
      <c r="C58" s="73" t="s">
        <v>311</v>
      </c>
      <c r="D58" s="11" t="s">
        <v>109</v>
      </c>
      <c r="E58" s="18">
        <f>0.5*E6*E25*(E38-E8*E34)</f>
        <v>-9.6213646070850807</v>
      </c>
      <c r="F58" s="18">
        <f>0.5*F6*F25*(F38-F8*F34)</f>
        <v>-7.3122371013846612</v>
      </c>
      <c r="G58" s="18">
        <f>0.5*G6*G25*(G38-G8*G34)</f>
        <v>-7.6237446950234329</v>
      </c>
      <c r="H58" s="18">
        <f>0.5*H6*H25*(H38-H8*H34)</f>
        <v>-4.8446033271764124</v>
      </c>
      <c r="I58" s="10" t="s">
        <v>313</v>
      </c>
    </row>
    <row r="59" spans="1:9" x14ac:dyDescent="0.25">
      <c r="A59" s="88"/>
      <c r="B59" s="73" t="s">
        <v>312</v>
      </c>
      <c r="C59" s="73" t="s">
        <v>312</v>
      </c>
      <c r="D59" s="11" t="s">
        <v>109</v>
      </c>
      <c r="E59" s="18">
        <f>E41+E8*E11</f>
        <v>11832.269496592931</v>
      </c>
      <c r="F59" s="18">
        <f>F41+F8*F11</f>
        <v>11832.269496592931</v>
      </c>
      <c r="G59" s="18">
        <f>G41+G8*G11</f>
        <v>10119.704174717637</v>
      </c>
      <c r="H59" s="18">
        <f>H41+H8*H11</f>
        <v>7228.3601247983124</v>
      </c>
      <c r="I59" s="10" t="s">
        <v>315</v>
      </c>
    </row>
    <row r="60" spans="1:9" x14ac:dyDescent="0.25">
      <c r="A60" s="88"/>
      <c r="B60" s="73" t="s">
        <v>309</v>
      </c>
      <c r="C60" s="73" t="s">
        <v>322</v>
      </c>
      <c r="D60" s="11" t="s">
        <v>19</v>
      </c>
      <c r="E60" s="14">
        <f>E16</f>
        <v>30.003955862044442</v>
      </c>
      <c r="F60" s="14">
        <f>F21</f>
        <v>37.858587542109788</v>
      </c>
      <c r="G60" s="14">
        <f>G21</f>
        <v>33.746789151677248</v>
      </c>
      <c r="H60" s="14">
        <f>H21</f>
        <v>32.710909992996484</v>
      </c>
      <c r="I60" s="10"/>
    </row>
    <row r="61" spans="1:9" x14ac:dyDescent="0.25">
      <c r="A61" s="89"/>
      <c r="B61" s="73" t="s">
        <v>310</v>
      </c>
      <c r="C61" s="73" t="s">
        <v>323</v>
      </c>
      <c r="D61" s="11" t="s">
        <v>324</v>
      </c>
      <c r="E61" s="14">
        <v>1</v>
      </c>
      <c r="F61" s="14">
        <v>1</v>
      </c>
      <c r="G61" s="14">
        <v>1</v>
      </c>
      <c r="H61" s="14">
        <v>1</v>
      </c>
      <c r="I61" s="10" t="s">
        <v>320</v>
      </c>
    </row>
    <row r="62" spans="1:9" x14ac:dyDescent="0.25">
      <c r="A62" s="87" t="s">
        <v>103</v>
      </c>
      <c r="B62" s="87" t="s">
        <v>164</v>
      </c>
      <c r="C62" s="11" t="s">
        <v>157</v>
      </c>
      <c r="D62" s="11" t="s">
        <v>106</v>
      </c>
      <c r="E62" s="15">
        <f>1/(2*E3*E45)*LN((E44+E45*E49^2)/(E44+E45*E48^2))</f>
        <v>348.07620757294382</v>
      </c>
      <c r="F62" s="15">
        <f>1/(2*F3*F45)*LN((F44+F45*F49^2)/(F44+F45*F48^2))</f>
        <v>1224.411063429648</v>
      </c>
      <c r="G62" s="15">
        <f>1/(2*G3*G45)*LN((G44+G45*G49^2)/(G44+G45*G48^2))</f>
        <v>460.99040745449366</v>
      </c>
      <c r="H62" s="15">
        <f>1/(2*H3*H45)*LN((H44+H45*H49^2)/(H44+H45*H48^2))</f>
        <v>335.57907258849502</v>
      </c>
      <c r="I62" s="10" t="s">
        <v>237</v>
      </c>
    </row>
    <row r="63" spans="1:9" x14ac:dyDescent="0.25">
      <c r="A63" s="88"/>
      <c r="B63" s="89"/>
      <c r="C63" s="11" t="s">
        <v>158</v>
      </c>
      <c r="D63" s="11" t="s">
        <v>100</v>
      </c>
      <c r="E63" s="15">
        <f t="shared" ref="E63:H63" si="20">E62*CONVERT(1,"m","ft")</f>
        <v>1141.982308310183</v>
      </c>
      <c r="F63" s="15">
        <f t="shared" si="20"/>
        <v>4017.0966647954333</v>
      </c>
      <c r="G63" s="78">
        <f t="shared" si="20"/>
        <v>1512.435719995058</v>
      </c>
      <c r="H63" s="78">
        <f t="shared" si="20"/>
        <v>1100.9812092798393</v>
      </c>
      <c r="I63" s="10"/>
    </row>
    <row r="64" spans="1:9" x14ac:dyDescent="0.25">
      <c r="A64" s="88"/>
      <c r="B64" s="87" t="s">
        <v>163</v>
      </c>
      <c r="C64" s="11" t="s">
        <v>157</v>
      </c>
      <c r="D64" s="11" t="s">
        <v>106</v>
      </c>
      <c r="E64" s="15">
        <f>E11/(2*E3)*E21^2/(E52-E53)*LN(E52/E53)</f>
        <v>251.90131967138529</v>
      </c>
      <c r="F64" s="15">
        <f>F11/(2*F3)*F21^2/(F52-F53)*LN(F52/F53)</f>
        <v>572.67052138881013</v>
      </c>
      <c r="G64" s="78">
        <f>G11/(2*G3)*G21^2/(G52-G53)*LN(G52/G53)</f>
        <v>315.42109424812742</v>
      </c>
      <c r="H64" s="78">
        <f>H11/(2*H3)*H21^2/(H52-H53)*LN(H52/H53)</f>
        <v>250.52957353587087</v>
      </c>
      <c r="I64" s="10" t="s">
        <v>238</v>
      </c>
    </row>
    <row r="65" spans="1:9" x14ac:dyDescent="0.25">
      <c r="A65" s="89"/>
      <c r="B65" s="89"/>
      <c r="C65" s="11" t="s">
        <v>158</v>
      </c>
      <c r="D65" s="11" t="s">
        <v>100</v>
      </c>
      <c r="E65" s="15">
        <f t="shared" ref="E65" si="21">E64*CONVERT(1,"m","ft")</f>
        <v>826.44789918433503</v>
      </c>
      <c r="F65" s="15">
        <f t="shared" ref="F65:H65" si="22">F64*CONVERT(1,"m","ft")</f>
        <v>1878.8402932703746</v>
      </c>
      <c r="G65" s="78">
        <f t="shared" si="22"/>
        <v>1034.8461097379509</v>
      </c>
      <c r="H65" s="78">
        <f t="shared" si="22"/>
        <v>821.94741973710916</v>
      </c>
      <c r="I65" s="10"/>
    </row>
    <row r="66" spans="1:9" x14ac:dyDescent="0.25">
      <c r="A66" s="82"/>
      <c r="B66" s="82"/>
      <c r="C66" s="11"/>
      <c r="D66" s="11"/>
      <c r="E66" s="15"/>
      <c r="F66" s="15"/>
      <c r="G66" s="78"/>
      <c r="H66" s="78"/>
      <c r="I66" s="10"/>
    </row>
    <row r="67" spans="1:9" x14ac:dyDescent="0.25">
      <c r="A67" s="82"/>
      <c r="B67" s="82"/>
      <c r="C67" s="11"/>
      <c r="D67" s="11"/>
      <c r="E67" s="15"/>
      <c r="F67" s="15"/>
      <c r="G67" s="78"/>
      <c r="H67" s="78"/>
      <c r="I67" s="10"/>
    </row>
    <row r="68" spans="1:9" x14ac:dyDescent="0.25">
      <c r="A68" s="87" t="s">
        <v>156</v>
      </c>
      <c r="B68" s="87" t="s">
        <v>164</v>
      </c>
      <c r="C68" s="11" t="s">
        <v>157</v>
      </c>
      <c r="D68" s="11" t="s">
        <v>106</v>
      </c>
      <c r="E68" s="15">
        <f>1/(2*E3*E47)*LN((E46+E47*E51^2)/(E46+E47*E50^2))</f>
        <v>332.38760944824224</v>
      </c>
      <c r="F68" s="15">
        <f>1/(2*F3*F47)*LN((F46+F47*F51^2)/(F46+F47*F50^2))</f>
        <v>437.35211769505571</v>
      </c>
      <c r="G68" s="78">
        <f>1/(2*G3*G47)*LN((G46+G47*G51^2)/(G46+G47*G50^2))</f>
        <v>342.54342937732787</v>
      </c>
      <c r="H68" s="78">
        <f>1/(2*H3*H47)*LN((H46+H47*H51^2)/(H46+H47*H50^2))</f>
        <v>348.7905422190226</v>
      </c>
      <c r="I68" s="10" t="s">
        <v>237</v>
      </c>
    </row>
    <row r="69" spans="1:9" x14ac:dyDescent="0.25">
      <c r="A69" s="88"/>
      <c r="B69" s="89"/>
      <c r="C69" s="11" t="s">
        <v>158</v>
      </c>
      <c r="D69" s="11" t="s">
        <v>100</v>
      </c>
      <c r="E69" s="15">
        <f t="shared" ref="E69:H69" si="23">E68*CONVERT(1,"m","ft")</f>
        <v>1090.5105296858342</v>
      </c>
      <c r="F69" s="15">
        <f t="shared" si="23"/>
        <v>1434.8822759024138</v>
      </c>
      <c r="G69" s="78">
        <f t="shared" si="23"/>
        <v>1123.8301488757477</v>
      </c>
      <c r="H69" s="78">
        <f t="shared" si="23"/>
        <v>1144.3259259154286</v>
      </c>
      <c r="I69" s="10"/>
    </row>
    <row r="70" spans="1:9" x14ac:dyDescent="0.25">
      <c r="A70" s="88"/>
      <c r="B70" s="87" t="s">
        <v>163</v>
      </c>
      <c r="C70" s="11" t="s">
        <v>157</v>
      </c>
      <c r="D70" s="11" t="s">
        <v>106</v>
      </c>
      <c r="E70" s="15">
        <f>E14/(2*E3)*E23^2/(E54-E55)*LN(E54/E55)</f>
        <v>600.95989784002268</v>
      </c>
      <c r="F70" s="15">
        <f>F14/(2*F3)*F23^2/(F54-F55)*LN(F54/F55)</f>
        <v>790.73670768424051</v>
      </c>
      <c r="G70" s="78">
        <f>G14/(2*G3)*G23^2/(G54-G55)*LN(G54/G55)</f>
        <v>654.99285258142675</v>
      </c>
      <c r="H70" s="78">
        <f>H14/(2*H3)*H23^2/(H54-H55)*LN(H54/H55)</f>
        <v>798.42314966228298</v>
      </c>
      <c r="I70" s="10" t="s">
        <v>238</v>
      </c>
    </row>
    <row r="71" spans="1:9" x14ac:dyDescent="0.25">
      <c r="A71" s="89"/>
      <c r="B71" s="89"/>
      <c r="C71" s="11" t="s">
        <v>158</v>
      </c>
      <c r="D71" s="11" t="s">
        <v>100</v>
      </c>
      <c r="E71" s="15">
        <f t="shared" ref="E71" si="24">E70*CONVERT(1,"m","ft")</f>
        <v>1971.6532081365574</v>
      </c>
      <c r="F71" s="15">
        <f t="shared" ref="F71:H71" si="25">F70*CONVERT(1,"m","ft")</f>
        <v>2594.2805370217866</v>
      </c>
      <c r="G71" s="15">
        <f t="shared" si="25"/>
        <v>2148.9266816975942</v>
      </c>
      <c r="H71" s="15">
        <f t="shared" si="25"/>
        <v>2619.4985225140517</v>
      </c>
      <c r="I71" s="10"/>
    </row>
    <row r="72" spans="1:9" x14ac:dyDescent="0.25">
      <c r="A72" s="95" t="s">
        <v>290</v>
      </c>
      <c r="B72" s="11" t="s">
        <v>291</v>
      </c>
      <c r="C72" s="11" t="s">
        <v>333</v>
      </c>
      <c r="D72" s="11" t="s">
        <v>106</v>
      </c>
      <c r="E72" s="15">
        <f>0.5*E10/E57*LN(E56/(E56-E57*E60^2))</f>
        <v>271.24672306310299</v>
      </c>
      <c r="F72" s="15">
        <f>0.5*F10/F57*LN(F56/(F56-F57*F60^2))</f>
        <v>1224.4110634296478</v>
      </c>
      <c r="G72" s="15">
        <f>0.5*G10/G57*LN(G56/(G56-G57*G60^2))</f>
        <v>460.99040745449366</v>
      </c>
      <c r="H72" s="15">
        <f>0.5*H10/H57*LN(H56/(H56-H57*H60^2))</f>
        <v>335.57907258849502</v>
      </c>
      <c r="I72" s="10" t="s">
        <v>325</v>
      </c>
    </row>
    <row r="73" spans="1:9" x14ac:dyDescent="0.25">
      <c r="A73" s="95"/>
      <c r="B73" s="11" t="s">
        <v>292</v>
      </c>
      <c r="C73" s="11" t="s">
        <v>334</v>
      </c>
      <c r="D73" s="11" t="s">
        <v>106</v>
      </c>
      <c r="E73" s="15">
        <f>E60*E61</f>
        <v>30.003955862044442</v>
      </c>
      <c r="F73" s="15">
        <f t="shared" ref="F73:H73" si="26">F60*F61</f>
        <v>37.858587542109788</v>
      </c>
      <c r="G73" s="15">
        <f t="shared" si="26"/>
        <v>33.746789151677248</v>
      </c>
      <c r="H73" s="15">
        <f t="shared" si="26"/>
        <v>32.710909992996484</v>
      </c>
      <c r="I73" s="10" t="s">
        <v>321</v>
      </c>
    </row>
    <row r="74" spans="1:9" x14ac:dyDescent="0.25">
      <c r="A74" s="95"/>
      <c r="B74" s="11" t="s">
        <v>293</v>
      </c>
      <c r="C74" s="11" t="s">
        <v>335</v>
      </c>
      <c r="D74" s="11" t="s">
        <v>106</v>
      </c>
      <c r="E74" s="15">
        <f>0.5*E10</f>
        <v>1587.5732950000001</v>
      </c>
      <c r="F74" s="15">
        <f>0.5*F10</f>
        <v>1587.5732950000001</v>
      </c>
      <c r="G74" s="15">
        <f>0.5*G10</f>
        <v>1474.1752025000001</v>
      </c>
      <c r="H74" s="15">
        <f>0.5*H10</f>
        <v>1474.1752025000001</v>
      </c>
      <c r="I74" s="10" t="s">
        <v>326</v>
      </c>
    </row>
    <row r="75" spans="1:9" x14ac:dyDescent="0.25">
      <c r="A75" s="95"/>
      <c r="B75" s="95" t="s">
        <v>294</v>
      </c>
      <c r="C75" s="11" t="s">
        <v>331</v>
      </c>
      <c r="D75" s="11" t="s">
        <v>106</v>
      </c>
      <c r="E75" s="15">
        <f>SUM(E72:E74)</f>
        <v>1888.8239739251476</v>
      </c>
      <c r="F75" s="15">
        <f t="shared" ref="F75:H75" si="27">SUM(F72:F74)</f>
        <v>2849.8429459717577</v>
      </c>
      <c r="G75" s="15">
        <f t="shared" si="27"/>
        <v>1968.9123991061711</v>
      </c>
      <c r="H75" s="15">
        <f t="shared" si="27"/>
        <v>1842.4651850814917</v>
      </c>
      <c r="I75" s="10" t="s">
        <v>330</v>
      </c>
    </row>
    <row r="76" spans="1:9" x14ac:dyDescent="0.25">
      <c r="A76" s="95"/>
      <c r="B76" s="95"/>
      <c r="C76" s="11" t="s">
        <v>332</v>
      </c>
      <c r="D76" s="11" t="s">
        <v>100</v>
      </c>
      <c r="E76" s="15">
        <f t="shared" ref="E76:H76" si="28">E75*CONVERT(1,"m","ft")</f>
        <v>6196.9290483108516</v>
      </c>
      <c r="F76" s="15">
        <f t="shared" si="28"/>
        <v>9349.8784316658712</v>
      </c>
      <c r="G76" s="15">
        <f t="shared" si="28"/>
        <v>6459.6863487735272</v>
      </c>
      <c r="H76" s="15">
        <f t="shared" si="28"/>
        <v>6044.8332843880962</v>
      </c>
      <c r="I76" s="10"/>
    </row>
  </sheetData>
  <mergeCells count="24">
    <mergeCell ref="B75:B76"/>
    <mergeCell ref="A72:A76"/>
    <mergeCell ref="A24:A41"/>
    <mergeCell ref="A42:A61"/>
    <mergeCell ref="A15:A23"/>
    <mergeCell ref="A68:A71"/>
    <mergeCell ref="A62:A65"/>
    <mergeCell ref="B62:B63"/>
    <mergeCell ref="B64:B65"/>
    <mergeCell ref="B68:B69"/>
    <mergeCell ref="B70:B71"/>
    <mergeCell ref="A3:A6"/>
    <mergeCell ref="B28:B29"/>
    <mergeCell ref="B26:B27"/>
    <mergeCell ref="B39:B40"/>
    <mergeCell ref="B12:B14"/>
    <mergeCell ref="A9:A14"/>
    <mergeCell ref="B15:B16"/>
    <mergeCell ref="B17:B18"/>
    <mergeCell ref="B9:B11"/>
    <mergeCell ref="B24:B25"/>
    <mergeCell ref="B20:B21"/>
    <mergeCell ref="A7:A8"/>
    <mergeCell ref="B22:B23"/>
  </mergeCells>
  <pageMargins left="0.7" right="0.7" top="0.75" bottom="0.75" header="0.3" footer="0.3"/>
  <pageSetup paperSize="9" orientation="portrait" horizontalDpi="4294967293" verticalDpi="0" r:id="rId1"/>
  <ignoredErrors>
    <ignoredError sqref="E16:H16 E21:H21 E64:H64 E68:H68 E70:H70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8910-4F22-4D79-83D9-52DC0D8F1606}">
  <dimension ref="A1:AJ94"/>
  <sheetViews>
    <sheetView tabSelected="1" topLeftCell="A108" zoomScaleNormal="100" workbookViewId="0">
      <selection activeCell="L119" sqref="L119"/>
    </sheetView>
  </sheetViews>
  <sheetFormatPr defaultRowHeight="14.5" x14ac:dyDescent="0.25"/>
  <cols>
    <col min="1" max="1" width="19.08984375" style="5" bestFit="1" customWidth="1"/>
    <col min="2" max="2" width="30.453125" style="9" bestFit="1" customWidth="1"/>
    <col min="3" max="3" width="14.26953125" style="9" bestFit="1" customWidth="1"/>
    <col min="4" max="14" width="8.7265625" style="9"/>
    <col min="15" max="35" width="8.7265625" style="9" customWidth="1"/>
    <col min="36" max="36" width="88.81640625" style="5" customWidth="1"/>
    <col min="37" max="16384" width="8.7265625" style="5"/>
  </cols>
  <sheetData>
    <row r="1" spans="1:36" x14ac:dyDescent="0.25">
      <c r="E1" s="95" t="s">
        <v>363</v>
      </c>
      <c r="F1" s="95"/>
      <c r="G1" s="95"/>
      <c r="H1" s="95"/>
      <c r="I1" s="95"/>
      <c r="J1" s="95" t="s">
        <v>362</v>
      </c>
      <c r="K1" s="95"/>
      <c r="L1" s="95"/>
      <c r="M1" s="95"/>
      <c r="N1" s="95"/>
      <c r="O1" s="11"/>
      <c r="P1" s="95" t="s">
        <v>360</v>
      </c>
      <c r="Q1" s="95"/>
      <c r="R1" s="95"/>
      <c r="S1" s="95"/>
      <c r="T1" s="95"/>
      <c r="U1" s="95" t="s">
        <v>361</v>
      </c>
      <c r="V1" s="95"/>
      <c r="W1" s="95"/>
      <c r="X1" s="95"/>
      <c r="Y1" s="95"/>
      <c r="Z1" s="95" t="s">
        <v>364</v>
      </c>
      <c r="AA1" s="95"/>
      <c r="AB1" s="95"/>
      <c r="AC1" s="95"/>
      <c r="AD1" s="95"/>
      <c r="AE1" s="95" t="s">
        <v>365</v>
      </c>
      <c r="AF1" s="95"/>
      <c r="AG1" s="95"/>
      <c r="AH1" s="95"/>
      <c r="AI1" s="95"/>
    </row>
    <row r="2" spans="1:36" ht="58" x14ac:dyDescent="0.25">
      <c r="A2" s="10"/>
      <c r="B2" s="11"/>
      <c r="C2" s="11"/>
      <c r="D2" s="11"/>
      <c r="E2" s="68" t="s">
        <v>244</v>
      </c>
      <c r="F2" s="68" t="s">
        <v>244</v>
      </c>
      <c r="G2" s="68" t="s">
        <v>244</v>
      </c>
      <c r="H2" s="68" t="s">
        <v>244</v>
      </c>
      <c r="I2" s="68" t="s">
        <v>244</v>
      </c>
      <c r="J2" s="83" t="s">
        <v>244</v>
      </c>
      <c r="K2" s="83" t="s">
        <v>244</v>
      </c>
      <c r="L2" s="83" t="s">
        <v>244</v>
      </c>
      <c r="M2" s="83" t="s">
        <v>244</v>
      </c>
      <c r="N2" s="83" t="s">
        <v>244</v>
      </c>
      <c r="O2" s="79" t="s">
        <v>245</v>
      </c>
      <c r="P2" s="80" t="s">
        <v>246</v>
      </c>
      <c r="Q2" s="80" t="s">
        <v>246</v>
      </c>
      <c r="R2" s="80" t="s">
        <v>246</v>
      </c>
      <c r="S2" s="80" t="s">
        <v>246</v>
      </c>
      <c r="T2" s="80" t="s">
        <v>246</v>
      </c>
      <c r="U2" s="80" t="s">
        <v>246</v>
      </c>
      <c r="V2" s="80" t="s">
        <v>246</v>
      </c>
      <c r="W2" s="80" t="s">
        <v>246</v>
      </c>
      <c r="X2" s="80" t="s">
        <v>246</v>
      </c>
      <c r="Y2" s="80" t="s">
        <v>246</v>
      </c>
      <c r="Z2" s="81" t="s">
        <v>247</v>
      </c>
      <c r="AA2" s="81" t="s">
        <v>247</v>
      </c>
      <c r="AB2" s="81" t="s">
        <v>247</v>
      </c>
      <c r="AC2" s="81" t="s">
        <v>247</v>
      </c>
      <c r="AD2" s="81" t="s">
        <v>247</v>
      </c>
      <c r="AE2" s="81" t="s">
        <v>247</v>
      </c>
      <c r="AF2" s="81" t="s">
        <v>247</v>
      </c>
      <c r="AG2" s="81" t="s">
        <v>247</v>
      </c>
      <c r="AH2" s="81" t="s">
        <v>247</v>
      </c>
      <c r="AI2" s="81" t="s">
        <v>247</v>
      </c>
      <c r="AJ2" s="10" t="s">
        <v>173</v>
      </c>
    </row>
    <row r="3" spans="1:36" x14ac:dyDescent="0.25">
      <c r="A3" s="87"/>
      <c r="B3" s="11" t="s">
        <v>149</v>
      </c>
      <c r="C3" s="11" t="s">
        <v>118</v>
      </c>
      <c r="D3" s="11" t="s">
        <v>108</v>
      </c>
      <c r="E3" s="11">
        <v>9.8066499999999994</v>
      </c>
      <c r="F3" s="11">
        <v>9.8066499999999994</v>
      </c>
      <c r="G3" s="11">
        <v>9.8066499999999994</v>
      </c>
      <c r="H3" s="11">
        <v>9.8066499999999994</v>
      </c>
      <c r="I3" s="11">
        <v>9.8066499999999994</v>
      </c>
      <c r="J3" s="11">
        <v>9.8066499999999994</v>
      </c>
      <c r="K3" s="11">
        <v>9.8066499999999994</v>
      </c>
      <c r="L3" s="11">
        <v>9.8066499999999994</v>
      </c>
      <c r="M3" s="11">
        <v>9.8066499999999994</v>
      </c>
      <c r="N3" s="11">
        <v>9.8066499999999994</v>
      </c>
      <c r="O3" s="11">
        <v>9.8066499999999994</v>
      </c>
      <c r="P3" s="11">
        <v>9.8066499999999994</v>
      </c>
      <c r="Q3" s="11">
        <v>9.8066499999999994</v>
      </c>
      <c r="R3" s="11">
        <v>9.8066499999999994</v>
      </c>
      <c r="S3" s="11">
        <v>9.8066499999999994</v>
      </c>
      <c r="T3" s="11">
        <v>9.8066499999999994</v>
      </c>
      <c r="U3" s="11">
        <v>9.8066499999999994</v>
      </c>
      <c r="V3" s="11">
        <v>9.8066499999999994</v>
      </c>
      <c r="W3" s="11">
        <v>9.8066499999999994</v>
      </c>
      <c r="X3" s="11">
        <v>9.8066499999999994</v>
      </c>
      <c r="Y3" s="11">
        <v>9.8066499999999994</v>
      </c>
      <c r="Z3" s="11">
        <v>9.8066499999999994</v>
      </c>
      <c r="AA3" s="11">
        <v>9.8066499999999994</v>
      </c>
      <c r="AB3" s="11">
        <v>9.8066499999999994</v>
      </c>
      <c r="AC3" s="11">
        <v>9.8066499999999994</v>
      </c>
      <c r="AD3" s="11">
        <v>9.8066499999999994</v>
      </c>
      <c r="AE3" s="11">
        <v>9.8066499999999994</v>
      </c>
      <c r="AF3" s="11">
        <v>9.8066499999999994</v>
      </c>
      <c r="AG3" s="11">
        <v>9.8066499999999994</v>
      </c>
      <c r="AH3" s="11">
        <v>9.8066499999999994</v>
      </c>
      <c r="AI3" s="11">
        <v>9.8066499999999994</v>
      </c>
      <c r="AJ3" s="10"/>
    </row>
    <row r="4" spans="1:36" x14ac:dyDescent="0.25">
      <c r="A4" s="88"/>
      <c r="B4" s="76" t="s">
        <v>373</v>
      </c>
      <c r="C4" s="11" t="s">
        <v>372</v>
      </c>
      <c r="D4" s="11" t="s">
        <v>100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6" x14ac:dyDescent="0.25">
      <c r="A5" s="88"/>
      <c r="B5" s="76" t="s">
        <v>370</v>
      </c>
      <c r="C5" s="11" t="s">
        <v>371</v>
      </c>
      <c r="D5" s="11" t="s">
        <v>119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</row>
    <row r="6" spans="1:36" x14ac:dyDescent="0.25">
      <c r="A6" s="88"/>
      <c r="B6" s="11" t="s">
        <v>373</v>
      </c>
      <c r="C6" s="11" t="s">
        <v>374</v>
      </c>
      <c r="D6" s="11" t="s">
        <v>106</v>
      </c>
      <c r="E6" s="14">
        <f>E4*CONVERT(1,"ft","m")</f>
        <v>0</v>
      </c>
      <c r="F6" s="14">
        <f t="shared" ref="F6:X6" si="0">F4*CONVERT(1,"ft","m")</f>
        <v>0</v>
      </c>
      <c r="G6" s="14">
        <f t="shared" si="0"/>
        <v>0</v>
      </c>
      <c r="H6" s="14">
        <f t="shared" si="0"/>
        <v>0</v>
      </c>
      <c r="I6" s="14">
        <f t="shared" si="0"/>
        <v>0</v>
      </c>
      <c r="J6" s="14">
        <f t="shared" si="0"/>
        <v>0</v>
      </c>
      <c r="K6" s="14">
        <f t="shared" si="0"/>
        <v>0</v>
      </c>
      <c r="L6" s="14">
        <f t="shared" si="0"/>
        <v>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0</v>
      </c>
      <c r="T6" s="14">
        <f t="shared" si="0"/>
        <v>0</v>
      </c>
      <c r="U6" s="14">
        <f t="shared" si="0"/>
        <v>0</v>
      </c>
      <c r="V6" s="14">
        <f t="shared" si="0"/>
        <v>0</v>
      </c>
      <c r="W6" s="14">
        <f t="shared" si="0"/>
        <v>0</v>
      </c>
      <c r="X6" s="14">
        <f t="shared" si="0"/>
        <v>0</v>
      </c>
      <c r="Y6" s="14">
        <f>Y4*CONVERT(1,"ft","m")</f>
        <v>0</v>
      </c>
      <c r="Z6" s="14">
        <f t="shared" ref="Z6:AI6" si="1">Z4*CONVERT(1,"ft","m")</f>
        <v>0</v>
      </c>
      <c r="AA6" s="14">
        <f t="shared" si="1"/>
        <v>0</v>
      </c>
      <c r="AB6" s="14">
        <f t="shared" si="1"/>
        <v>0</v>
      </c>
      <c r="AC6" s="14">
        <f t="shared" si="1"/>
        <v>0</v>
      </c>
      <c r="AD6" s="14">
        <f t="shared" si="1"/>
        <v>0</v>
      </c>
      <c r="AE6" s="14">
        <f t="shared" si="1"/>
        <v>0</v>
      </c>
      <c r="AF6" s="14">
        <f t="shared" si="1"/>
        <v>0</v>
      </c>
      <c r="AG6" s="14">
        <f t="shared" si="1"/>
        <v>0</v>
      </c>
      <c r="AH6" s="14">
        <f t="shared" si="1"/>
        <v>0</v>
      </c>
      <c r="AI6" s="14">
        <f t="shared" si="1"/>
        <v>0</v>
      </c>
    </row>
    <row r="7" spans="1:36" x14ac:dyDescent="0.25">
      <c r="A7" s="88"/>
      <c r="B7" s="11" t="s">
        <v>375</v>
      </c>
      <c r="C7" s="11" t="s">
        <v>382</v>
      </c>
      <c r="D7" s="11" t="s">
        <v>172</v>
      </c>
      <c r="E7" s="16">
        <f>288.15-0.00649*E6</f>
        <v>288.14999999999998</v>
      </c>
      <c r="F7" s="16">
        <f t="shared" ref="F7:Y7" si="2">288.15-0.00649*F6</f>
        <v>288.14999999999998</v>
      </c>
      <c r="G7" s="16">
        <f t="shared" si="2"/>
        <v>288.14999999999998</v>
      </c>
      <c r="H7" s="16">
        <f t="shared" si="2"/>
        <v>288.14999999999998</v>
      </c>
      <c r="I7" s="16">
        <f t="shared" si="2"/>
        <v>288.14999999999998</v>
      </c>
      <c r="J7" s="16">
        <f t="shared" si="2"/>
        <v>288.14999999999998</v>
      </c>
      <c r="K7" s="16">
        <f t="shared" si="2"/>
        <v>288.14999999999998</v>
      </c>
      <c r="L7" s="16">
        <f t="shared" si="2"/>
        <v>288.14999999999998</v>
      </c>
      <c r="M7" s="16">
        <f t="shared" si="2"/>
        <v>288.14999999999998</v>
      </c>
      <c r="N7" s="16">
        <f t="shared" si="2"/>
        <v>288.14999999999998</v>
      </c>
      <c r="O7" s="16">
        <f t="shared" si="2"/>
        <v>288.14999999999998</v>
      </c>
      <c r="P7" s="16">
        <f t="shared" si="2"/>
        <v>288.14999999999998</v>
      </c>
      <c r="Q7" s="16">
        <f t="shared" si="2"/>
        <v>288.14999999999998</v>
      </c>
      <c r="R7" s="16">
        <f t="shared" si="2"/>
        <v>288.14999999999998</v>
      </c>
      <c r="S7" s="16">
        <f t="shared" si="2"/>
        <v>288.14999999999998</v>
      </c>
      <c r="T7" s="16">
        <f t="shared" si="2"/>
        <v>288.14999999999998</v>
      </c>
      <c r="U7" s="16">
        <f t="shared" si="2"/>
        <v>288.14999999999998</v>
      </c>
      <c r="V7" s="16">
        <f t="shared" si="2"/>
        <v>288.14999999999998</v>
      </c>
      <c r="W7" s="16">
        <f t="shared" si="2"/>
        <v>288.14999999999998</v>
      </c>
      <c r="X7" s="16">
        <f t="shared" si="2"/>
        <v>288.14999999999998</v>
      </c>
      <c r="Y7" s="16">
        <f t="shared" si="2"/>
        <v>288.14999999999998</v>
      </c>
      <c r="Z7" s="16">
        <f t="shared" ref="Z7:AI7" si="3">288.15-0.00649*Z6</f>
        <v>288.14999999999998</v>
      </c>
      <c r="AA7" s="16">
        <f t="shared" si="3"/>
        <v>288.14999999999998</v>
      </c>
      <c r="AB7" s="16">
        <f t="shared" si="3"/>
        <v>288.14999999999998</v>
      </c>
      <c r="AC7" s="16">
        <f t="shared" si="3"/>
        <v>288.14999999999998</v>
      </c>
      <c r="AD7" s="16">
        <f t="shared" si="3"/>
        <v>288.14999999999998</v>
      </c>
      <c r="AE7" s="16">
        <f t="shared" si="3"/>
        <v>288.14999999999998</v>
      </c>
      <c r="AF7" s="16">
        <f t="shared" si="3"/>
        <v>288.14999999999998</v>
      </c>
      <c r="AG7" s="16">
        <f t="shared" si="3"/>
        <v>288.14999999999998</v>
      </c>
      <c r="AH7" s="16">
        <f t="shared" si="3"/>
        <v>288.14999999999998</v>
      </c>
      <c r="AI7" s="16">
        <f t="shared" si="3"/>
        <v>288.14999999999998</v>
      </c>
    </row>
    <row r="8" spans="1:36" x14ac:dyDescent="0.25">
      <c r="A8" s="88"/>
      <c r="B8" s="11" t="s">
        <v>376</v>
      </c>
      <c r="C8" s="11" t="s">
        <v>381</v>
      </c>
      <c r="D8" s="11" t="s">
        <v>172</v>
      </c>
      <c r="E8" s="16">
        <f>E7+E5</f>
        <v>288.14999999999998</v>
      </c>
      <c r="F8" s="16">
        <f t="shared" ref="F8:X8" si="4">F7+F5</f>
        <v>288.14999999999998</v>
      </c>
      <c r="G8" s="16">
        <f t="shared" si="4"/>
        <v>288.14999999999998</v>
      </c>
      <c r="H8" s="16">
        <f t="shared" si="4"/>
        <v>288.14999999999998</v>
      </c>
      <c r="I8" s="16">
        <f t="shared" si="4"/>
        <v>288.14999999999998</v>
      </c>
      <c r="J8" s="16">
        <f t="shared" si="4"/>
        <v>288.14999999999998</v>
      </c>
      <c r="K8" s="16">
        <f t="shared" si="4"/>
        <v>288.14999999999998</v>
      </c>
      <c r="L8" s="16">
        <f t="shared" si="4"/>
        <v>288.14999999999998</v>
      </c>
      <c r="M8" s="16">
        <f t="shared" si="4"/>
        <v>288.14999999999998</v>
      </c>
      <c r="N8" s="16">
        <f t="shared" si="4"/>
        <v>288.14999999999998</v>
      </c>
      <c r="O8" s="16">
        <f t="shared" si="4"/>
        <v>288.14999999999998</v>
      </c>
      <c r="P8" s="16">
        <f t="shared" si="4"/>
        <v>288.14999999999998</v>
      </c>
      <c r="Q8" s="16">
        <f t="shared" si="4"/>
        <v>288.14999999999998</v>
      </c>
      <c r="R8" s="16">
        <f t="shared" si="4"/>
        <v>288.14999999999998</v>
      </c>
      <c r="S8" s="16">
        <f t="shared" si="4"/>
        <v>288.14999999999998</v>
      </c>
      <c r="T8" s="16">
        <f t="shared" si="4"/>
        <v>288.14999999999998</v>
      </c>
      <c r="U8" s="16">
        <f t="shared" si="4"/>
        <v>288.14999999999998</v>
      </c>
      <c r="V8" s="16">
        <f t="shared" si="4"/>
        <v>288.14999999999998</v>
      </c>
      <c r="W8" s="16">
        <f t="shared" si="4"/>
        <v>288.14999999999998</v>
      </c>
      <c r="X8" s="16">
        <f t="shared" si="4"/>
        <v>288.14999999999998</v>
      </c>
      <c r="Y8" s="16">
        <f t="shared" ref="Y8:AI8" si="5">Y7+Y5</f>
        <v>288.14999999999998</v>
      </c>
      <c r="Z8" s="16">
        <f t="shared" si="5"/>
        <v>288.14999999999998</v>
      </c>
      <c r="AA8" s="16">
        <f t="shared" si="5"/>
        <v>288.14999999999998</v>
      </c>
      <c r="AB8" s="16">
        <f t="shared" si="5"/>
        <v>288.14999999999998</v>
      </c>
      <c r="AC8" s="16">
        <f t="shared" si="5"/>
        <v>288.14999999999998</v>
      </c>
      <c r="AD8" s="16">
        <f t="shared" si="5"/>
        <v>288.14999999999998</v>
      </c>
      <c r="AE8" s="16">
        <f t="shared" si="5"/>
        <v>288.14999999999998</v>
      </c>
      <c r="AF8" s="16">
        <f t="shared" si="5"/>
        <v>288.14999999999998</v>
      </c>
      <c r="AG8" s="16">
        <f t="shared" si="5"/>
        <v>288.14999999999998</v>
      </c>
      <c r="AH8" s="16">
        <f t="shared" si="5"/>
        <v>288.14999999999998</v>
      </c>
      <c r="AI8" s="16">
        <f t="shared" si="5"/>
        <v>288.14999999999998</v>
      </c>
    </row>
    <row r="9" spans="1:36" x14ac:dyDescent="0.25">
      <c r="A9" s="88"/>
      <c r="B9" s="11" t="s">
        <v>376</v>
      </c>
      <c r="C9" s="11" t="s">
        <v>377</v>
      </c>
      <c r="D9" s="11" t="s">
        <v>119</v>
      </c>
      <c r="E9" s="14">
        <f>E8-273.15</f>
        <v>15</v>
      </c>
      <c r="F9" s="14">
        <f t="shared" ref="F9:X9" si="6">F8-273.15</f>
        <v>15</v>
      </c>
      <c r="G9" s="14">
        <f t="shared" si="6"/>
        <v>15</v>
      </c>
      <c r="H9" s="14">
        <f t="shared" si="6"/>
        <v>15</v>
      </c>
      <c r="I9" s="14">
        <f t="shared" si="6"/>
        <v>15</v>
      </c>
      <c r="J9" s="14">
        <f t="shared" si="6"/>
        <v>15</v>
      </c>
      <c r="K9" s="14">
        <f t="shared" si="6"/>
        <v>15</v>
      </c>
      <c r="L9" s="14">
        <f t="shared" si="6"/>
        <v>15</v>
      </c>
      <c r="M9" s="14">
        <f t="shared" si="6"/>
        <v>15</v>
      </c>
      <c r="N9" s="14">
        <f t="shared" si="6"/>
        <v>15</v>
      </c>
      <c r="O9" s="14">
        <f t="shared" si="6"/>
        <v>15</v>
      </c>
      <c r="P9" s="14">
        <f t="shared" si="6"/>
        <v>15</v>
      </c>
      <c r="Q9" s="14">
        <f t="shared" si="6"/>
        <v>15</v>
      </c>
      <c r="R9" s="14">
        <f t="shared" si="6"/>
        <v>15</v>
      </c>
      <c r="S9" s="14">
        <f t="shared" si="6"/>
        <v>15</v>
      </c>
      <c r="T9" s="14">
        <f t="shared" si="6"/>
        <v>15</v>
      </c>
      <c r="U9" s="14">
        <f t="shared" si="6"/>
        <v>15</v>
      </c>
      <c r="V9" s="14">
        <f t="shared" si="6"/>
        <v>15</v>
      </c>
      <c r="W9" s="14">
        <f t="shared" si="6"/>
        <v>15</v>
      </c>
      <c r="X9" s="14">
        <f t="shared" si="6"/>
        <v>15</v>
      </c>
      <c r="Y9" s="14">
        <f t="shared" ref="Y9:AI9" si="7">Y8-273.15</f>
        <v>15</v>
      </c>
      <c r="Z9" s="14">
        <f t="shared" si="7"/>
        <v>15</v>
      </c>
      <c r="AA9" s="14">
        <f t="shared" si="7"/>
        <v>15</v>
      </c>
      <c r="AB9" s="14">
        <f t="shared" si="7"/>
        <v>15</v>
      </c>
      <c r="AC9" s="14">
        <f t="shared" si="7"/>
        <v>15</v>
      </c>
      <c r="AD9" s="14">
        <f t="shared" si="7"/>
        <v>15</v>
      </c>
      <c r="AE9" s="14">
        <f t="shared" si="7"/>
        <v>15</v>
      </c>
      <c r="AF9" s="14">
        <f t="shared" si="7"/>
        <v>15</v>
      </c>
      <c r="AG9" s="14">
        <f t="shared" si="7"/>
        <v>15</v>
      </c>
      <c r="AH9" s="14">
        <f t="shared" si="7"/>
        <v>15</v>
      </c>
      <c r="AI9" s="14">
        <f t="shared" si="7"/>
        <v>15</v>
      </c>
    </row>
    <row r="10" spans="1:36" x14ac:dyDescent="0.25">
      <c r="A10" s="88"/>
      <c r="B10" s="11" t="s">
        <v>378</v>
      </c>
      <c r="C10" s="11" t="s">
        <v>380</v>
      </c>
      <c r="D10" s="11" t="s">
        <v>379</v>
      </c>
      <c r="E10" s="15">
        <f>101325*(E7/288.15)^(9.80665/(287.05287*0.0065))</f>
        <v>101325</v>
      </c>
      <c r="F10" s="15">
        <f t="shared" ref="F10:X10" si="8">101325*(F7/288.15)^(9.80665/(287.05287*0.0065))</f>
        <v>101325</v>
      </c>
      <c r="G10" s="15">
        <f t="shared" si="8"/>
        <v>101325</v>
      </c>
      <c r="H10" s="15">
        <f t="shared" si="8"/>
        <v>101325</v>
      </c>
      <c r="I10" s="15">
        <f t="shared" si="8"/>
        <v>101325</v>
      </c>
      <c r="J10" s="15">
        <f t="shared" si="8"/>
        <v>101325</v>
      </c>
      <c r="K10" s="15">
        <f t="shared" si="8"/>
        <v>101325</v>
      </c>
      <c r="L10" s="15">
        <f t="shared" si="8"/>
        <v>101325</v>
      </c>
      <c r="M10" s="15">
        <f t="shared" si="8"/>
        <v>101325</v>
      </c>
      <c r="N10" s="15">
        <f t="shared" si="8"/>
        <v>101325</v>
      </c>
      <c r="O10" s="15">
        <f t="shared" si="8"/>
        <v>101325</v>
      </c>
      <c r="P10" s="15">
        <f t="shared" si="8"/>
        <v>101325</v>
      </c>
      <c r="Q10" s="15">
        <f t="shared" si="8"/>
        <v>101325</v>
      </c>
      <c r="R10" s="15">
        <f t="shared" si="8"/>
        <v>101325</v>
      </c>
      <c r="S10" s="15">
        <f t="shared" si="8"/>
        <v>101325</v>
      </c>
      <c r="T10" s="15">
        <f t="shared" si="8"/>
        <v>101325</v>
      </c>
      <c r="U10" s="15">
        <f t="shared" si="8"/>
        <v>101325</v>
      </c>
      <c r="V10" s="15">
        <f t="shared" si="8"/>
        <v>101325</v>
      </c>
      <c r="W10" s="15">
        <f t="shared" si="8"/>
        <v>101325</v>
      </c>
      <c r="X10" s="15">
        <f t="shared" si="8"/>
        <v>101325</v>
      </c>
      <c r="Y10" s="15">
        <f t="shared" ref="Y10:AI10" si="9">101325*(Y7/288.15)^(9.80665/(287.05287*0.0065))</f>
        <v>101325</v>
      </c>
      <c r="Z10" s="15">
        <f t="shared" si="9"/>
        <v>101325</v>
      </c>
      <c r="AA10" s="15">
        <f t="shared" si="9"/>
        <v>101325</v>
      </c>
      <c r="AB10" s="15">
        <f t="shared" si="9"/>
        <v>101325</v>
      </c>
      <c r="AC10" s="15">
        <f t="shared" si="9"/>
        <v>101325</v>
      </c>
      <c r="AD10" s="15">
        <f t="shared" si="9"/>
        <v>101325</v>
      </c>
      <c r="AE10" s="15">
        <f t="shared" si="9"/>
        <v>101325</v>
      </c>
      <c r="AF10" s="15">
        <f t="shared" si="9"/>
        <v>101325</v>
      </c>
      <c r="AG10" s="15">
        <f t="shared" si="9"/>
        <v>101325</v>
      </c>
      <c r="AH10" s="15">
        <f t="shared" si="9"/>
        <v>101325</v>
      </c>
      <c r="AI10" s="15">
        <f t="shared" si="9"/>
        <v>101325</v>
      </c>
    </row>
    <row r="11" spans="1:36" x14ac:dyDescent="0.25">
      <c r="A11" s="89"/>
      <c r="B11" s="11" t="s">
        <v>151</v>
      </c>
      <c r="C11" s="11" t="s">
        <v>117</v>
      </c>
      <c r="D11" s="11" t="s">
        <v>110</v>
      </c>
      <c r="E11" s="17">
        <f t="shared" ref="E11:X11" si="10">E10/(287.05287*E8)</f>
        <v>1.2250000181242879</v>
      </c>
      <c r="F11" s="17">
        <f t="shared" si="10"/>
        <v>1.2250000181242879</v>
      </c>
      <c r="G11" s="17">
        <f t="shared" si="10"/>
        <v>1.2250000181242879</v>
      </c>
      <c r="H11" s="17">
        <f t="shared" si="10"/>
        <v>1.2250000181242879</v>
      </c>
      <c r="I11" s="17">
        <f t="shared" si="10"/>
        <v>1.2250000181242879</v>
      </c>
      <c r="J11" s="17">
        <f t="shared" si="10"/>
        <v>1.2250000181242879</v>
      </c>
      <c r="K11" s="17">
        <f t="shared" si="10"/>
        <v>1.2250000181242879</v>
      </c>
      <c r="L11" s="17">
        <f t="shared" si="10"/>
        <v>1.2250000181242879</v>
      </c>
      <c r="M11" s="17">
        <f t="shared" si="10"/>
        <v>1.2250000181242879</v>
      </c>
      <c r="N11" s="17">
        <f t="shared" si="10"/>
        <v>1.2250000181242879</v>
      </c>
      <c r="O11" s="17">
        <f t="shared" si="10"/>
        <v>1.2250000181242879</v>
      </c>
      <c r="P11" s="17">
        <f t="shared" si="10"/>
        <v>1.2250000181242879</v>
      </c>
      <c r="Q11" s="17">
        <f t="shared" si="10"/>
        <v>1.2250000181242879</v>
      </c>
      <c r="R11" s="17">
        <f t="shared" si="10"/>
        <v>1.2250000181242879</v>
      </c>
      <c r="S11" s="17">
        <f t="shared" si="10"/>
        <v>1.2250000181242879</v>
      </c>
      <c r="T11" s="17">
        <f t="shared" si="10"/>
        <v>1.2250000181242879</v>
      </c>
      <c r="U11" s="17">
        <f t="shared" si="10"/>
        <v>1.2250000181242879</v>
      </c>
      <c r="V11" s="17">
        <f t="shared" si="10"/>
        <v>1.2250000181242879</v>
      </c>
      <c r="W11" s="17">
        <f t="shared" si="10"/>
        <v>1.2250000181242879</v>
      </c>
      <c r="X11" s="17">
        <f t="shared" si="10"/>
        <v>1.2250000181242879</v>
      </c>
      <c r="Y11" s="17">
        <f t="shared" ref="Y11:AI11" si="11">Y10/(287.05287*Y8)</f>
        <v>1.2250000181242879</v>
      </c>
      <c r="Z11" s="17">
        <f t="shared" si="11"/>
        <v>1.2250000181242879</v>
      </c>
      <c r="AA11" s="17">
        <f t="shared" si="11"/>
        <v>1.2250000181242879</v>
      </c>
      <c r="AB11" s="17">
        <f t="shared" si="11"/>
        <v>1.2250000181242879</v>
      </c>
      <c r="AC11" s="17">
        <f t="shared" si="11"/>
        <v>1.2250000181242879</v>
      </c>
      <c r="AD11" s="17">
        <f t="shared" si="11"/>
        <v>1.2250000181242879</v>
      </c>
      <c r="AE11" s="17">
        <f t="shared" si="11"/>
        <v>1.2250000181242879</v>
      </c>
      <c r="AF11" s="17">
        <f t="shared" si="11"/>
        <v>1.2250000181242879</v>
      </c>
      <c r="AG11" s="17">
        <f t="shared" si="11"/>
        <v>1.2250000181242879</v>
      </c>
      <c r="AH11" s="17">
        <f t="shared" si="11"/>
        <v>1.2250000181242879</v>
      </c>
      <c r="AI11" s="17">
        <f t="shared" si="11"/>
        <v>1.2250000181242879</v>
      </c>
    </row>
    <row r="12" spans="1:36" ht="43.5" x14ac:dyDescent="0.25">
      <c r="A12" s="87" t="s">
        <v>150</v>
      </c>
      <c r="B12" s="11" t="s">
        <v>240</v>
      </c>
      <c r="C12" s="11" t="s">
        <v>242</v>
      </c>
      <c r="D12" s="11"/>
      <c r="E12" s="17">
        <v>2.5000000000000001E-2</v>
      </c>
      <c r="F12" s="17">
        <v>2.5000000000000001E-2</v>
      </c>
      <c r="G12" s="17">
        <v>2.5000000000000001E-2</v>
      </c>
      <c r="H12" s="17">
        <v>2.5000000000000001E-2</v>
      </c>
      <c r="I12" s="17">
        <v>2.5000000000000001E-2</v>
      </c>
      <c r="J12" s="17">
        <v>2.5000000000000001E-2</v>
      </c>
      <c r="K12" s="17">
        <v>2.5000000000000001E-2</v>
      </c>
      <c r="L12" s="17">
        <v>2.5000000000000001E-2</v>
      </c>
      <c r="M12" s="17">
        <v>2.5000000000000001E-2</v>
      </c>
      <c r="N12" s="17">
        <v>2.5000000000000001E-2</v>
      </c>
      <c r="O12" s="17">
        <v>2.5000000000000001E-2</v>
      </c>
      <c r="P12" s="17">
        <v>0.04</v>
      </c>
      <c r="Q12" s="17">
        <v>0.04</v>
      </c>
      <c r="R12" s="17">
        <v>0.04</v>
      </c>
      <c r="S12" s="17">
        <v>0.04</v>
      </c>
      <c r="T12" s="17">
        <v>0.04</v>
      </c>
      <c r="U12" s="17">
        <v>0.04</v>
      </c>
      <c r="V12" s="17">
        <v>0.04</v>
      </c>
      <c r="W12" s="17">
        <v>0.04</v>
      </c>
      <c r="X12" s="17">
        <v>0.04</v>
      </c>
      <c r="Y12" s="17">
        <v>0.04</v>
      </c>
      <c r="Z12" s="17">
        <v>0.05</v>
      </c>
      <c r="AA12" s="17">
        <v>0.05</v>
      </c>
      <c r="AB12" s="17">
        <v>0.05</v>
      </c>
      <c r="AC12" s="17">
        <v>0.05</v>
      </c>
      <c r="AD12" s="17">
        <v>0.05</v>
      </c>
      <c r="AE12" s="17">
        <v>0.05</v>
      </c>
      <c r="AF12" s="17">
        <v>0.05</v>
      </c>
      <c r="AG12" s="17">
        <v>0.05</v>
      </c>
      <c r="AH12" s="17">
        <v>0.05</v>
      </c>
      <c r="AI12" s="17">
        <v>0.05</v>
      </c>
      <c r="AJ12" s="85" t="s">
        <v>358</v>
      </c>
    </row>
    <row r="13" spans="1:36" ht="43.5" x14ac:dyDescent="0.25">
      <c r="A13" s="88"/>
      <c r="B13" s="11" t="s">
        <v>241</v>
      </c>
      <c r="C13" s="11" t="s">
        <v>243</v>
      </c>
      <c r="D13" s="11"/>
      <c r="E13" s="17">
        <v>0.38</v>
      </c>
      <c r="F13" s="17">
        <v>0.38</v>
      </c>
      <c r="G13" s="17">
        <v>0.38</v>
      </c>
      <c r="H13" s="17">
        <v>0.38</v>
      </c>
      <c r="I13" s="17">
        <v>0.38</v>
      </c>
      <c r="J13" s="17">
        <v>0.38</v>
      </c>
      <c r="K13" s="17">
        <v>0.38</v>
      </c>
      <c r="L13" s="17">
        <v>0.38</v>
      </c>
      <c r="M13" s="17">
        <v>0.38</v>
      </c>
      <c r="N13" s="17">
        <v>0.38</v>
      </c>
      <c r="O13" s="17">
        <v>0.38</v>
      </c>
      <c r="P13" s="17">
        <v>0.35</v>
      </c>
      <c r="Q13" s="17">
        <v>0.35</v>
      </c>
      <c r="R13" s="17">
        <v>0.35</v>
      </c>
      <c r="S13" s="17">
        <v>0.35</v>
      </c>
      <c r="T13" s="17">
        <v>0.35</v>
      </c>
      <c r="U13" s="17">
        <v>0.35</v>
      </c>
      <c r="V13" s="17">
        <v>0.35</v>
      </c>
      <c r="W13" s="17">
        <v>0.35</v>
      </c>
      <c r="X13" s="17">
        <v>0.35</v>
      </c>
      <c r="Y13" s="17">
        <v>0.35</v>
      </c>
      <c r="Z13" s="17">
        <v>0.25</v>
      </c>
      <c r="AA13" s="17">
        <v>0.25</v>
      </c>
      <c r="AB13" s="17">
        <v>0.25</v>
      </c>
      <c r="AC13" s="17">
        <v>0.25</v>
      </c>
      <c r="AD13" s="17">
        <v>0.25</v>
      </c>
      <c r="AE13" s="17">
        <v>0.25</v>
      </c>
      <c r="AF13" s="17">
        <v>0.25</v>
      </c>
      <c r="AG13" s="17">
        <v>0.25</v>
      </c>
      <c r="AH13" s="17">
        <v>0.25</v>
      </c>
      <c r="AI13" s="17">
        <v>0.25</v>
      </c>
      <c r="AJ13" s="85" t="s">
        <v>359</v>
      </c>
    </row>
    <row r="14" spans="1:36" x14ac:dyDescent="0.25">
      <c r="A14" s="87" t="s">
        <v>124</v>
      </c>
      <c r="B14" s="92" t="s">
        <v>249</v>
      </c>
      <c r="C14" s="11" t="s">
        <v>259</v>
      </c>
      <c r="D14" s="11" t="s">
        <v>104</v>
      </c>
      <c r="E14" s="35">
        <v>5000</v>
      </c>
      <c r="F14" s="35">
        <v>5500</v>
      </c>
      <c r="G14" s="35">
        <v>6000</v>
      </c>
      <c r="H14" s="35">
        <v>6500</v>
      </c>
      <c r="I14" s="35">
        <v>7000</v>
      </c>
      <c r="J14" s="35">
        <v>5000</v>
      </c>
      <c r="K14" s="35">
        <v>5500</v>
      </c>
      <c r="L14" s="35">
        <v>6000</v>
      </c>
      <c r="M14" s="35">
        <v>6500</v>
      </c>
      <c r="N14" s="35">
        <v>7000</v>
      </c>
      <c r="O14" s="35">
        <v>7000</v>
      </c>
      <c r="P14" s="35">
        <v>5000</v>
      </c>
      <c r="Q14" s="35">
        <v>5500</v>
      </c>
      <c r="R14" s="35">
        <v>6000</v>
      </c>
      <c r="S14" s="35">
        <v>6500</v>
      </c>
      <c r="T14" s="35">
        <v>7000</v>
      </c>
      <c r="U14" s="35">
        <v>5000</v>
      </c>
      <c r="V14" s="35">
        <v>5500</v>
      </c>
      <c r="W14" s="35">
        <v>6000</v>
      </c>
      <c r="X14" s="35">
        <v>6500</v>
      </c>
      <c r="Y14" s="35">
        <v>7000</v>
      </c>
      <c r="Z14" s="35">
        <v>5000</v>
      </c>
      <c r="AA14" s="35">
        <v>5500</v>
      </c>
      <c r="AB14" s="35">
        <v>6000</v>
      </c>
      <c r="AC14" s="35">
        <v>6500</v>
      </c>
      <c r="AD14" s="35">
        <v>7000</v>
      </c>
      <c r="AE14" s="35">
        <v>5000</v>
      </c>
      <c r="AF14" s="35">
        <v>5500</v>
      </c>
      <c r="AG14" s="35">
        <v>6000</v>
      </c>
      <c r="AH14" s="35">
        <v>6500</v>
      </c>
      <c r="AI14" s="35">
        <v>7000</v>
      </c>
      <c r="AJ14" s="10" t="s">
        <v>265</v>
      </c>
    </row>
    <row r="15" spans="1:36" x14ac:dyDescent="0.25">
      <c r="A15" s="88"/>
      <c r="B15" s="93"/>
      <c r="C15" s="11" t="s">
        <v>260</v>
      </c>
      <c r="D15" s="11" t="s">
        <v>10</v>
      </c>
      <c r="E15" s="15">
        <f t="shared" ref="E15:G15" si="12">E14*CONVERT(1,"lbm","kg")</f>
        <v>2267.9618500000001</v>
      </c>
      <c r="F15" s="15">
        <f t="shared" ref="F15" si="13">F14*CONVERT(1,"lbm","kg")</f>
        <v>2494.7580350000003</v>
      </c>
      <c r="G15" s="15">
        <f t="shared" si="12"/>
        <v>2721.55422</v>
      </c>
      <c r="H15" s="15">
        <f t="shared" ref="H15" si="14">H14*CONVERT(1,"lbm","kg")</f>
        <v>2948.3504050000001</v>
      </c>
      <c r="I15" s="15">
        <f t="shared" ref="I15:Z15" si="15">I14*CONVERT(1,"lbm","kg")</f>
        <v>3175.1465900000003</v>
      </c>
      <c r="J15" s="15">
        <f t="shared" ref="J15:N15" si="16">J14*CONVERT(1,"lbm","kg")</f>
        <v>2267.9618500000001</v>
      </c>
      <c r="K15" s="15">
        <f t="shared" ref="K15" si="17">K14*CONVERT(1,"lbm","kg")</f>
        <v>2494.7580350000003</v>
      </c>
      <c r="L15" s="15">
        <f t="shared" ref="L15:M15" si="18">L14*CONVERT(1,"lbm","kg")</f>
        <v>2721.55422</v>
      </c>
      <c r="M15" s="15">
        <f t="shared" si="18"/>
        <v>2948.3504050000001</v>
      </c>
      <c r="N15" s="15">
        <f t="shared" si="16"/>
        <v>3175.1465900000003</v>
      </c>
      <c r="O15" s="15">
        <f t="shared" si="15"/>
        <v>3175.1465900000003</v>
      </c>
      <c r="P15" s="15">
        <f t="shared" si="15"/>
        <v>2267.9618500000001</v>
      </c>
      <c r="Q15" s="15">
        <f t="shared" ref="Q15:R15" si="19">Q14*CONVERT(1,"lbm","kg")</f>
        <v>2494.7580350000003</v>
      </c>
      <c r="R15" s="15">
        <f t="shared" si="19"/>
        <v>2721.55422</v>
      </c>
      <c r="S15" s="15">
        <f t="shared" ref="S15:W15" si="20">S14*CONVERT(1,"lbm","kg")</f>
        <v>2948.3504050000001</v>
      </c>
      <c r="T15" s="15">
        <f t="shared" si="20"/>
        <v>3175.1465900000003</v>
      </c>
      <c r="U15" s="15">
        <f t="shared" si="20"/>
        <v>2267.9618500000001</v>
      </c>
      <c r="V15" s="15">
        <f t="shared" si="20"/>
        <v>2494.7580350000003</v>
      </c>
      <c r="W15" s="15">
        <f t="shared" si="20"/>
        <v>2721.55422</v>
      </c>
      <c r="X15" s="15">
        <f t="shared" ref="X15:Y15" si="21">X14*CONVERT(1,"lbm","kg")</f>
        <v>2948.3504050000001</v>
      </c>
      <c r="Y15" s="15">
        <f t="shared" si="21"/>
        <v>3175.1465900000003</v>
      </c>
      <c r="Z15" s="15">
        <f t="shared" si="15"/>
        <v>2267.9618500000001</v>
      </c>
      <c r="AA15" s="15">
        <f t="shared" ref="AA15:AB15" si="22">AA14*CONVERT(1,"lbm","kg")</f>
        <v>2494.7580350000003</v>
      </c>
      <c r="AB15" s="15">
        <f t="shared" si="22"/>
        <v>2721.55422</v>
      </c>
      <c r="AC15" s="15">
        <f t="shared" ref="AC15:AF15" si="23">AC14*CONVERT(1,"lbm","kg")</f>
        <v>2948.3504050000001</v>
      </c>
      <c r="AD15" s="15">
        <f t="shared" si="23"/>
        <v>3175.1465900000003</v>
      </c>
      <c r="AE15" s="15">
        <f t="shared" si="23"/>
        <v>2267.9618500000001</v>
      </c>
      <c r="AF15" s="15">
        <f t="shared" si="23"/>
        <v>2494.7580350000003</v>
      </c>
      <c r="AG15" s="15">
        <f t="shared" ref="AG15:AI15" si="24">AG14*CONVERT(1,"lbm","kg")</f>
        <v>2721.55422</v>
      </c>
      <c r="AH15" s="15">
        <f t="shared" si="24"/>
        <v>2948.3504050000001</v>
      </c>
      <c r="AI15" s="15">
        <f t="shared" si="24"/>
        <v>3175.1465900000003</v>
      </c>
      <c r="AJ15" s="10"/>
    </row>
    <row r="16" spans="1:36" x14ac:dyDescent="0.25">
      <c r="A16" s="88"/>
      <c r="B16" s="94"/>
      <c r="C16" s="11" t="s">
        <v>261</v>
      </c>
      <c r="D16" s="11" t="s">
        <v>109</v>
      </c>
      <c r="E16" s="15">
        <f>E15*E3</f>
        <v>22241.108076302498</v>
      </c>
      <c r="F16" s="15">
        <f>F15*F3</f>
        <v>24465.21888393275</v>
      </c>
      <c r="G16" s="15">
        <f>G15*G3</f>
        <v>26689.329691562998</v>
      </c>
      <c r="H16" s="15">
        <f>H15*H3</f>
        <v>28913.44049919325</v>
      </c>
      <c r="I16" s="15">
        <f>I15*I3</f>
        <v>31137.551306823501</v>
      </c>
      <c r="J16" s="15">
        <f>J15*J3</f>
        <v>22241.108076302498</v>
      </c>
      <c r="K16" s="15">
        <f>K15*K3</f>
        <v>24465.21888393275</v>
      </c>
      <c r="L16" s="15">
        <f>L15*L3</f>
        <v>26689.329691562998</v>
      </c>
      <c r="M16" s="15">
        <f>M15*M3</f>
        <v>28913.44049919325</v>
      </c>
      <c r="N16" s="15">
        <f>N15*N3</f>
        <v>31137.551306823501</v>
      </c>
      <c r="O16" s="15">
        <f>O15*O3</f>
        <v>31137.551306823501</v>
      </c>
      <c r="P16" s="15">
        <f>P15*P3</f>
        <v>22241.108076302498</v>
      </c>
      <c r="Q16" s="15">
        <f>Q15*Q3</f>
        <v>24465.21888393275</v>
      </c>
      <c r="R16" s="15">
        <f>R15*R3</f>
        <v>26689.329691562998</v>
      </c>
      <c r="S16" s="15">
        <f>S15*S3</f>
        <v>28913.44049919325</v>
      </c>
      <c r="T16" s="15">
        <f>T15*T3</f>
        <v>31137.551306823501</v>
      </c>
      <c r="U16" s="15">
        <f>U15*U3</f>
        <v>22241.108076302498</v>
      </c>
      <c r="V16" s="15">
        <f>V15*V3</f>
        <v>24465.21888393275</v>
      </c>
      <c r="W16" s="15">
        <f>W15*W3</f>
        <v>26689.329691562998</v>
      </c>
      <c r="X16" s="15">
        <f>X15*X3</f>
        <v>28913.44049919325</v>
      </c>
      <c r="Y16" s="15">
        <f>Y15*Y3</f>
        <v>31137.551306823501</v>
      </c>
      <c r="Z16" s="15">
        <f>Z15*Z3</f>
        <v>22241.108076302498</v>
      </c>
      <c r="AA16" s="15">
        <f>AA15*AA3</f>
        <v>24465.21888393275</v>
      </c>
      <c r="AB16" s="15">
        <f>AB15*AB3</f>
        <v>26689.329691562998</v>
      </c>
      <c r="AC16" s="15">
        <f>AC15*AC3</f>
        <v>28913.44049919325</v>
      </c>
      <c r="AD16" s="15">
        <f>AD15*AD3</f>
        <v>31137.551306823501</v>
      </c>
      <c r="AE16" s="15">
        <f>AE15*AE3</f>
        <v>22241.108076302498</v>
      </c>
      <c r="AF16" s="15">
        <f>AF15*AF3</f>
        <v>24465.21888393275</v>
      </c>
      <c r="AG16" s="15">
        <f>AG15*AG3</f>
        <v>26689.329691562998</v>
      </c>
      <c r="AH16" s="15">
        <f>AH15*AH3</f>
        <v>28913.44049919325</v>
      </c>
      <c r="AI16" s="15">
        <f>AI15*AI3</f>
        <v>31137.551306823501</v>
      </c>
      <c r="AJ16" s="10"/>
    </row>
    <row r="17" spans="1:36" x14ac:dyDescent="0.25">
      <c r="A17" s="88"/>
      <c r="B17" s="92" t="s">
        <v>250</v>
      </c>
      <c r="C17" s="11" t="s">
        <v>262</v>
      </c>
      <c r="D17" s="11" t="s">
        <v>104</v>
      </c>
      <c r="E17" s="35">
        <v>5000</v>
      </c>
      <c r="F17" s="35">
        <v>5500</v>
      </c>
      <c r="G17" s="35">
        <v>6000</v>
      </c>
      <c r="H17" s="35">
        <v>6500</v>
      </c>
      <c r="I17" s="35">
        <v>7000</v>
      </c>
      <c r="J17" s="35">
        <v>5000</v>
      </c>
      <c r="K17" s="35">
        <v>5500</v>
      </c>
      <c r="L17" s="35">
        <v>6000</v>
      </c>
      <c r="M17" s="35">
        <v>6500</v>
      </c>
      <c r="N17" s="35">
        <v>7000</v>
      </c>
      <c r="O17" s="35">
        <v>6500</v>
      </c>
      <c r="P17" s="35">
        <v>5000</v>
      </c>
      <c r="Q17" s="35">
        <v>5500</v>
      </c>
      <c r="R17" s="35">
        <v>6000</v>
      </c>
      <c r="S17" s="35">
        <v>6500</v>
      </c>
      <c r="T17" s="35">
        <v>7000</v>
      </c>
      <c r="U17" s="35">
        <v>5000</v>
      </c>
      <c r="V17" s="35">
        <v>5500</v>
      </c>
      <c r="W17" s="35">
        <v>6000</v>
      </c>
      <c r="X17" s="35">
        <v>6500</v>
      </c>
      <c r="Y17" s="35">
        <v>7000</v>
      </c>
      <c r="Z17" s="35">
        <v>5000</v>
      </c>
      <c r="AA17" s="35">
        <v>5500</v>
      </c>
      <c r="AB17" s="35">
        <v>6000</v>
      </c>
      <c r="AC17" s="35">
        <v>6500</v>
      </c>
      <c r="AD17" s="35">
        <v>7000</v>
      </c>
      <c r="AE17" s="35">
        <v>5000</v>
      </c>
      <c r="AF17" s="35">
        <v>5500</v>
      </c>
      <c r="AG17" s="35">
        <v>6000</v>
      </c>
      <c r="AH17" s="35">
        <v>6500</v>
      </c>
      <c r="AI17" s="35">
        <v>7000</v>
      </c>
      <c r="AJ17" s="10" t="s">
        <v>266</v>
      </c>
    </row>
    <row r="18" spans="1:36" x14ac:dyDescent="0.25">
      <c r="A18" s="88"/>
      <c r="B18" s="93"/>
      <c r="C18" s="11" t="s">
        <v>263</v>
      </c>
      <c r="D18" s="11" t="s">
        <v>10</v>
      </c>
      <c r="E18" s="15">
        <f t="shared" ref="E18:G18" si="25">E17*CONVERT(1,"lbm","kg")</f>
        <v>2267.9618500000001</v>
      </c>
      <c r="F18" s="15">
        <f t="shared" ref="F18" si="26">F17*CONVERT(1,"lbm","kg")</f>
        <v>2494.7580350000003</v>
      </c>
      <c r="G18" s="15">
        <f t="shared" si="25"/>
        <v>2721.55422</v>
      </c>
      <c r="H18" s="15">
        <f t="shared" ref="H18" si="27">H17*CONVERT(1,"lbm","kg")</f>
        <v>2948.3504050000001</v>
      </c>
      <c r="I18" s="15">
        <f t="shared" ref="I18:Z18" si="28">I17*CONVERT(1,"lbm","kg")</f>
        <v>3175.1465900000003</v>
      </c>
      <c r="J18" s="15">
        <f t="shared" ref="J18:N18" si="29">J17*CONVERT(1,"lbm","kg")</f>
        <v>2267.9618500000001</v>
      </c>
      <c r="K18" s="15">
        <f t="shared" ref="K18" si="30">K17*CONVERT(1,"lbm","kg")</f>
        <v>2494.7580350000003</v>
      </c>
      <c r="L18" s="15">
        <f t="shared" ref="L18:M18" si="31">L17*CONVERT(1,"lbm","kg")</f>
        <v>2721.55422</v>
      </c>
      <c r="M18" s="15">
        <f t="shared" si="31"/>
        <v>2948.3504050000001</v>
      </c>
      <c r="N18" s="15">
        <f t="shared" si="29"/>
        <v>3175.1465900000003</v>
      </c>
      <c r="O18" s="15">
        <f t="shared" si="28"/>
        <v>2948.3504050000001</v>
      </c>
      <c r="P18" s="15">
        <f t="shared" si="28"/>
        <v>2267.9618500000001</v>
      </c>
      <c r="Q18" s="15">
        <f t="shared" ref="Q18:R18" si="32">Q17*CONVERT(1,"lbm","kg")</f>
        <v>2494.7580350000003</v>
      </c>
      <c r="R18" s="15">
        <f t="shared" si="32"/>
        <v>2721.55422</v>
      </c>
      <c r="S18" s="15">
        <f t="shared" ref="S18:W18" si="33">S17*CONVERT(1,"lbm","kg")</f>
        <v>2948.3504050000001</v>
      </c>
      <c r="T18" s="15">
        <f t="shared" si="33"/>
        <v>3175.1465900000003</v>
      </c>
      <c r="U18" s="15">
        <f t="shared" si="33"/>
        <v>2267.9618500000001</v>
      </c>
      <c r="V18" s="15">
        <f t="shared" si="33"/>
        <v>2494.7580350000003</v>
      </c>
      <c r="W18" s="15">
        <f t="shared" si="33"/>
        <v>2721.55422</v>
      </c>
      <c r="X18" s="15">
        <f t="shared" ref="X18:Y18" si="34">X17*CONVERT(1,"lbm","kg")</f>
        <v>2948.3504050000001</v>
      </c>
      <c r="Y18" s="15">
        <f t="shared" si="34"/>
        <v>3175.1465900000003</v>
      </c>
      <c r="Z18" s="15">
        <f t="shared" si="28"/>
        <v>2267.9618500000001</v>
      </c>
      <c r="AA18" s="15">
        <f t="shared" ref="AA18:AB18" si="35">AA17*CONVERT(1,"lbm","kg")</f>
        <v>2494.7580350000003</v>
      </c>
      <c r="AB18" s="15">
        <f t="shared" si="35"/>
        <v>2721.55422</v>
      </c>
      <c r="AC18" s="15">
        <f t="shared" ref="AC18:AF18" si="36">AC17*CONVERT(1,"lbm","kg")</f>
        <v>2948.3504050000001</v>
      </c>
      <c r="AD18" s="15">
        <f t="shared" si="36"/>
        <v>3175.1465900000003</v>
      </c>
      <c r="AE18" s="15">
        <f t="shared" si="36"/>
        <v>2267.9618500000001</v>
      </c>
      <c r="AF18" s="15">
        <f t="shared" si="36"/>
        <v>2494.7580350000003</v>
      </c>
      <c r="AG18" s="15">
        <f t="shared" ref="AG18:AI18" si="37">AG17*CONVERT(1,"lbm","kg")</f>
        <v>2721.55422</v>
      </c>
      <c r="AH18" s="15">
        <f t="shared" si="37"/>
        <v>2948.3504050000001</v>
      </c>
      <c r="AI18" s="15">
        <f t="shared" si="37"/>
        <v>3175.1465900000003</v>
      </c>
      <c r="AJ18" s="10"/>
    </row>
    <row r="19" spans="1:36" x14ac:dyDescent="0.25">
      <c r="A19" s="89"/>
      <c r="B19" s="94"/>
      <c r="C19" s="11" t="s">
        <v>264</v>
      </c>
      <c r="D19" s="11" t="s">
        <v>109</v>
      </c>
      <c r="E19" s="15">
        <f>E18*E3</f>
        <v>22241.108076302498</v>
      </c>
      <c r="F19" s="15">
        <f>F18*F3</f>
        <v>24465.21888393275</v>
      </c>
      <c r="G19" s="15">
        <f>G18*G3</f>
        <v>26689.329691562998</v>
      </c>
      <c r="H19" s="15">
        <f>H18*H3</f>
        <v>28913.44049919325</v>
      </c>
      <c r="I19" s="15">
        <f>I18*I3</f>
        <v>31137.551306823501</v>
      </c>
      <c r="J19" s="15">
        <f>J18*J3</f>
        <v>22241.108076302498</v>
      </c>
      <c r="K19" s="15">
        <f>K18*K3</f>
        <v>24465.21888393275</v>
      </c>
      <c r="L19" s="15">
        <f>L18*L3</f>
        <v>26689.329691562998</v>
      </c>
      <c r="M19" s="15">
        <f>M18*M3</f>
        <v>28913.44049919325</v>
      </c>
      <c r="N19" s="15">
        <f>N18*N3</f>
        <v>31137.551306823501</v>
      </c>
      <c r="O19" s="15">
        <f>O18*O3</f>
        <v>28913.44049919325</v>
      </c>
      <c r="P19" s="15">
        <f>P18*P3</f>
        <v>22241.108076302498</v>
      </c>
      <c r="Q19" s="15">
        <f>Q18*Q3</f>
        <v>24465.21888393275</v>
      </c>
      <c r="R19" s="15">
        <f>R18*R3</f>
        <v>26689.329691562998</v>
      </c>
      <c r="S19" s="15">
        <f>S18*S3</f>
        <v>28913.44049919325</v>
      </c>
      <c r="T19" s="15">
        <f>T18*T3</f>
        <v>31137.551306823501</v>
      </c>
      <c r="U19" s="15">
        <f>U18*U3</f>
        <v>22241.108076302498</v>
      </c>
      <c r="V19" s="15">
        <f>V18*V3</f>
        <v>24465.21888393275</v>
      </c>
      <c r="W19" s="15">
        <f>W18*W3</f>
        <v>26689.329691562998</v>
      </c>
      <c r="X19" s="15">
        <f>X18*X3</f>
        <v>28913.44049919325</v>
      </c>
      <c r="Y19" s="15">
        <f>Y18*Y3</f>
        <v>31137.551306823501</v>
      </c>
      <c r="Z19" s="15">
        <f>Z18*Z3</f>
        <v>22241.108076302498</v>
      </c>
      <c r="AA19" s="15">
        <f>AA18*AA3</f>
        <v>24465.21888393275</v>
      </c>
      <c r="AB19" s="15">
        <f>AB18*AB3</f>
        <v>26689.329691562998</v>
      </c>
      <c r="AC19" s="15">
        <f>AC18*AC3</f>
        <v>28913.44049919325</v>
      </c>
      <c r="AD19" s="15">
        <f>AD18*AD3</f>
        <v>31137.551306823501</v>
      </c>
      <c r="AE19" s="15">
        <f>AE18*AE3</f>
        <v>22241.108076302498</v>
      </c>
      <c r="AF19" s="15">
        <f>AF18*AF3</f>
        <v>24465.21888393275</v>
      </c>
      <c r="AG19" s="15">
        <f>AG18*AG3</f>
        <v>26689.329691562998</v>
      </c>
      <c r="AH19" s="15">
        <f>AH18*AH3</f>
        <v>28913.44049919325</v>
      </c>
      <c r="AI19" s="15">
        <f>AI18*AI3</f>
        <v>31137.551306823501</v>
      </c>
      <c r="AJ19" s="10"/>
    </row>
    <row r="20" spans="1:36" x14ac:dyDescent="0.25">
      <c r="A20" s="87"/>
      <c r="B20" s="90" t="s">
        <v>252</v>
      </c>
      <c r="C20" s="11" t="s">
        <v>254</v>
      </c>
      <c r="D20" s="11" t="s">
        <v>105</v>
      </c>
      <c r="E20" s="14">
        <f t="shared" ref="E20:N20" si="38">CONVERT(1,"m/sec","kn")*E21</f>
        <v>48.043851721121086</v>
      </c>
      <c r="F20" s="14">
        <f t="shared" si="38"/>
        <v>50.388816785286558</v>
      </c>
      <c r="G20" s="14">
        <f t="shared" si="38"/>
        <v>52.629402674182835</v>
      </c>
      <c r="H20" s="14">
        <f t="shared" si="38"/>
        <v>54.778419059529185</v>
      </c>
      <c r="I20" s="14">
        <f t="shared" si="38"/>
        <v>56.846251973912032</v>
      </c>
      <c r="J20" s="14">
        <f t="shared" si="38"/>
        <v>45.324964692061428</v>
      </c>
      <c r="K20" s="14">
        <f t="shared" si="38"/>
        <v>47.537224012033732</v>
      </c>
      <c r="L20" s="14">
        <f t="shared" si="38"/>
        <v>49.651011159934477</v>
      </c>
      <c r="M20" s="14">
        <f t="shared" si="38"/>
        <v>51.678410885374561</v>
      </c>
      <c r="N20" s="14">
        <f t="shared" si="38"/>
        <v>53.629221456881709</v>
      </c>
      <c r="O20" s="14">
        <f t="shared" ref="O20:AI20" si="39">CONVERT(1,"m/sec","kn")*O21</f>
        <v>56.846251973912032</v>
      </c>
      <c r="P20" s="14">
        <f t="shared" si="39"/>
        <v>48.043851721121086</v>
      </c>
      <c r="Q20" s="14">
        <f t="shared" si="39"/>
        <v>50.388816785286558</v>
      </c>
      <c r="R20" s="14">
        <f t="shared" si="39"/>
        <v>52.629402674182835</v>
      </c>
      <c r="S20" s="14">
        <f t="shared" si="39"/>
        <v>54.778419059529185</v>
      </c>
      <c r="T20" s="14">
        <f t="shared" si="39"/>
        <v>56.846251973912032</v>
      </c>
      <c r="U20" s="14">
        <f t="shared" si="39"/>
        <v>44.525420901215142</v>
      </c>
      <c r="V20" s="14">
        <f t="shared" si="39"/>
        <v>46.698655409694645</v>
      </c>
      <c r="W20" s="14">
        <f t="shared" si="39"/>
        <v>48.775154820015068</v>
      </c>
      <c r="X20" s="14">
        <f t="shared" si="39"/>
        <v>50.766790703761018</v>
      </c>
      <c r="Y20" s="14">
        <f t="shared" si="39"/>
        <v>52.683188485535993</v>
      </c>
      <c r="Z20" s="14">
        <f t="shared" si="39"/>
        <v>48.043851721121086</v>
      </c>
      <c r="AA20" s="14">
        <f t="shared" si="39"/>
        <v>50.388816785286558</v>
      </c>
      <c r="AB20" s="14">
        <f t="shared" si="39"/>
        <v>52.629402674182835</v>
      </c>
      <c r="AC20" s="14">
        <f t="shared" si="39"/>
        <v>54.778419059529185</v>
      </c>
      <c r="AD20" s="14">
        <f t="shared" si="39"/>
        <v>56.846251973912032</v>
      </c>
      <c r="AE20" s="14">
        <f t="shared" si="39"/>
        <v>44.525420901215142</v>
      </c>
      <c r="AF20" s="14">
        <f t="shared" si="39"/>
        <v>46.698655409694645</v>
      </c>
      <c r="AG20" s="14">
        <f t="shared" si="39"/>
        <v>48.775154820015068</v>
      </c>
      <c r="AH20" s="14">
        <f t="shared" si="39"/>
        <v>50.766790703761018</v>
      </c>
      <c r="AI20" s="14">
        <f t="shared" si="39"/>
        <v>52.683188485535993</v>
      </c>
      <c r="AJ20" s="10" t="s">
        <v>248</v>
      </c>
    </row>
    <row r="21" spans="1:36" x14ac:dyDescent="0.25">
      <c r="A21" s="88"/>
      <c r="B21" s="91"/>
      <c r="C21" s="11" t="s">
        <v>255</v>
      </c>
      <c r="D21" s="11" t="s">
        <v>19</v>
      </c>
      <c r="E21" s="14">
        <f t="shared" ref="E21:AI21" si="40">SQRT(E16/(0.5*E11*E30*E39))</f>
        <v>24.715892607643404</v>
      </c>
      <c r="F21" s="14">
        <f t="shared" si="40"/>
        <v>25.922246857319642</v>
      </c>
      <c r="G21" s="14">
        <f t="shared" si="40"/>
        <v>27.074903820162948</v>
      </c>
      <c r="H21" s="14">
        <f t="shared" si="40"/>
        <v>28.180453360624458</v>
      </c>
      <c r="I21" s="14">
        <f t="shared" si="40"/>
        <v>29.24423851546808</v>
      </c>
      <c r="J21" s="14">
        <f t="shared" si="40"/>
        <v>23.317176280471603</v>
      </c>
      <c r="K21" s="14">
        <f>SQRT(K16/(0.5*K11*K30*K39))</f>
        <v>24.455260797301801</v>
      </c>
      <c r="L21" s="14">
        <f t="shared" si="40"/>
        <v>25.542686852277406</v>
      </c>
      <c r="M21" s="14">
        <f t="shared" si="40"/>
        <v>26.585671377698247</v>
      </c>
      <c r="N21" s="14">
        <f t="shared" si="40"/>
        <v>27.58925503837359</v>
      </c>
      <c r="O21" s="14">
        <f t="shared" si="40"/>
        <v>29.24423851546808</v>
      </c>
      <c r="P21" s="14">
        <f t="shared" si="40"/>
        <v>24.715892607643404</v>
      </c>
      <c r="Q21" s="14">
        <f t="shared" si="40"/>
        <v>25.922246857319642</v>
      </c>
      <c r="R21" s="14">
        <f t="shared" si="40"/>
        <v>27.074903820162948</v>
      </c>
      <c r="S21" s="14">
        <f t="shared" si="40"/>
        <v>28.180453360624458</v>
      </c>
      <c r="T21" s="14">
        <f t="shared" si="40"/>
        <v>29.24423851546808</v>
      </c>
      <c r="U21" s="14">
        <f t="shared" si="40"/>
        <v>22.905855419180678</v>
      </c>
      <c r="V21" s="14">
        <f t="shared" si="40"/>
        <v>24.023863838542912</v>
      </c>
      <c r="W21" s="14">
        <f t="shared" si="40"/>
        <v>25.09210742407442</v>
      </c>
      <c r="X21" s="14">
        <f t="shared" si="40"/>
        <v>26.116693439823724</v>
      </c>
      <c r="Y21" s="14">
        <f t="shared" si="40"/>
        <v>27.102573632003519</v>
      </c>
      <c r="Z21" s="14">
        <f t="shared" si="40"/>
        <v>24.715892607643404</v>
      </c>
      <c r="AA21" s="14">
        <f t="shared" si="40"/>
        <v>25.922246857319642</v>
      </c>
      <c r="AB21" s="14">
        <f t="shared" si="40"/>
        <v>27.074903820162948</v>
      </c>
      <c r="AC21" s="14">
        <f t="shared" si="40"/>
        <v>28.180453360624458</v>
      </c>
      <c r="AD21" s="14">
        <f t="shared" si="40"/>
        <v>29.24423851546808</v>
      </c>
      <c r="AE21" s="14">
        <f t="shared" si="40"/>
        <v>22.905855419180678</v>
      </c>
      <c r="AF21" s="14">
        <f t="shared" si="40"/>
        <v>24.023863838542912</v>
      </c>
      <c r="AG21" s="14">
        <f t="shared" si="40"/>
        <v>25.09210742407442</v>
      </c>
      <c r="AH21" s="14">
        <f t="shared" si="40"/>
        <v>26.116693439823724</v>
      </c>
      <c r="AI21" s="14">
        <f t="shared" si="40"/>
        <v>27.102573632003519</v>
      </c>
      <c r="AJ21" s="10" t="s">
        <v>258</v>
      </c>
    </row>
    <row r="22" spans="1:36" x14ac:dyDescent="0.25">
      <c r="A22" s="88"/>
      <c r="B22" s="90" t="s">
        <v>253</v>
      </c>
      <c r="C22" s="11" t="s">
        <v>256</v>
      </c>
      <c r="D22" s="11" t="s">
        <v>105</v>
      </c>
      <c r="E22" s="14">
        <f t="shared" ref="E22:N22" si="41">CONVERT(1,"m/sec","kn")*E23</f>
        <v>48.043851721121086</v>
      </c>
      <c r="F22" s="14">
        <f t="shared" si="41"/>
        <v>50.388816785286558</v>
      </c>
      <c r="G22" s="14">
        <f t="shared" si="41"/>
        <v>52.629402674182835</v>
      </c>
      <c r="H22" s="14">
        <f t="shared" si="41"/>
        <v>54.778419059529185</v>
      </c>
      <c r="I22" s="14">
        <f t="shared" si="41"/>
        <v>56.846251973912032</v>
      </c>
      <c r="J22" s="14">
        <f t="shared" si="41"/>
        <v>45.324964692061428</v>
      </c>
      <c r="K22" s="14">
        <f t="shared" si="41"/>
        <v>47.537224012033732</v>
      </c>
      <c r="L22" s="14">
        <f t="shared" si="41"/>
        <v>49.651011159934477</v>
      </c>
      <c r="M22" s="14">
        <f t="shared" si="41"/>
        <v>51.678410885374561</v>
      </c>
      <c r="N22" s="14">
        <f t="shared" si="41"/>
        <v>53.629221456881709</v>
      </c>
      <c r="O22" s="14">
        <f t="shared" ref="O22:AI22" si="42">CONVERT(1,"m/sec","kn")*O23</f>
        <v>54.778419059529185</v>
      </c>
      <c r="P22" s="14">
        <f t="shared" si="42"/>
        <v>48.043851721121086</v>
      </c>
      <c r="Q22" s="14">
        <f t="shared" si="42"/>
        <v>50.388816785286558</v>
      </c>
      <c r="R22" s="14">
        <f t="shared" si="42"/>
        <v>52.629402674182835</v>
      </c>
      <c r="S22" s="14">
        <f t="shared" si="42"/>
        <v>54.778419059529185</v>
      </c>
      <c r="T22" s="14">
        <f t="shared" si="42"/>
        <v>56.846251973912032</v>
      </c>
      <c r="U22" s="14">
        <f t="shared" si="42"/>
        <v>44.525420901215142</v>
      </c>
      <c r="V22" s="14">
        <f t="shared" si="42"/>
        <v>46.698655409694645</v>
      </c>
      <c r="W22" s="14">
        <f t="shared" si="42"/>
        <v>48.775154820015068</v>
      </c>
      <c r="X22" s="14">
        <f t="shared" si="42"/>
        <v>50.766790703761018</v>
      </c>
      <c r="Y22" s="14">
        <f t="shared" si="42"/>
        <v>52.683188485535993</v>
      </c>
      <c r="Z22" s="14">
        <f t="shared" si="42"/>
        <v>48.043851721121086</v>
      </c>
      <c r="AA22" s="14">
        <f t="shared" si="42"/>
        <v>50.388816785286558</v>
      </c>
      <c r="AB22" s="14">
        <f t="shared" si="42"/>
        <v>52.629402674182835</v>
      </c>
      <c r="AC22" s="14">
        <f t="shared" si="42"/>
        <v>54.778419059529185</v>
      </c>
      <c r="AD22" s="14">
        <f t="shared" si="42"/>
        <v>56.846251973912032</v>
      </c>
      <c r="AE22" s="14">
        <f t="shared" si="42"/>
        <v>44.525420901215142</v>
      </c>
      <c r="AF22" s="14">
        <f t="shared" si="42"/>
        <v>46.698655409694645</v>
      </c>
      <c r="AG22" s="14">
        <f t="shared" si="42"/>
        <v>48.775154820015068</v>
      </c>
      <c r="AH22" s="14">
        <f t="shared" si="42"/>
        <v>50.766790703761018</v>
      </c>
      <c r="AI22" s="14">
        <f t="shared" si="42"/>
        <v>52.683188485535993</v>
      </c>
      <c r="AJ22" s="10"/>
    </row>
    <row r="23" spans="1:36" ht="14" customHeight="1" x14ac:dyDescent="0.25">
      <c r="A23" s="88"/>
      <c r="B23" s="91"/>
      <c r="C23" s="11" t="s">
        <v>257</v>
      </c>
      <c r="D23" s="11" t="s">
        <v>19</v>
      </c>
      <c r="E23" s="14">
        <f t="shared" ref="E23:AI23" si="43">SQRT(E19/(0.5*E11*E30*E39))</f>
        <v>24.715892607643404</v>
      </c>
      <c r="F23" s="14">
        <f t="shared" si="43"/>
        <v>25.922246857319642</v>
      </c>
      <c r="G23" s="14">
        <f t="shared" si="43"/>
        <v>27.074903820162948</v>
      </c>
      <c r="H23" s="14">
        <f t="shared" si="43"/>
        <v>28.180453360624458</v>
      </c>
      <c r="I23" s="14">
        <f t="shared" si="43"/>
        <v>29.24423851546808</v>
      </c>
      <c r="J23" s="14">
        <f t="shared" si="43"/>
        <v>23.317176280471603</v>
      </c>
      <c r="K23" s="14">
        <f>SQRT(K19/(0.5*K11*K30*K39))</f>
        <v>24.455260797301801</v>
      </c>
      <c r="L23" s="14">
        <f t="shared" si="43"/>
        <v>25.542686852277406</v>
      </c>
      <c r="M23" s="14">
        <f t="shared" si="43"/>
        <v>26.585671377698247</v>
      </c>
      <c r="N23" s="14">
        <f t="shared" si="43"/>
        <v>27.58925503837359</v>
      </c>
      <c r="O23" s="14">
        <f t="shared" si="43"/>
        <v>28.180453360624458</v>
      </c>
      <c r="P23" s="14">
        <f t="shared" si="43"/>
        <v>24.715892607643404</v>
      </c>
      <c r="Q23" s="14">
        <f t="shared" si="43"/>
        <v>25.922246857319642</v>
      </c>
      <c r="R23" s="14">
        <f t="shared" si="43"/>
        <v>27.074903820162948</v>
      </c>
      <c r="S23" s="14">
        <f t="shared" si="43"/>
        <v>28.180453360624458</v>
      </c>
      <c r="T23" s="14">
        <f t="shared" si="43"/>
        <v>29.24423851546808</v>
      </c>
      <c r="U23" s="14">
        <f t="shared" si="43"/>
        <v>22.905855419180678</v>
      </c>
      <c r="V23" s="14">
        <f t="shared" si="43"/>
        <v>24.023863838542912</v>
      </c>
      <c r="W23" s="14">
        <f t="shared" si="43"/>
        <v>25.09210742407442</v>
      </c>
      <c r="X23" s="14">
        <f t="shared" si="43"/>
        <v>26.116693439823724</v>
      </c>
      <c r="Y23" s="14">
        <f t="shared" si="43"/>
        <v>27.102573632003519</v>
      </c>
      <c r="Z23" s="14">
        <f t="shared" si="43"/>
        <v>24.715892607643404</v>
      </c>
      <c r="AA23" s="14">
        <f t="shared" si="43"/>
        <v>25.922246857319642</v>
      </c>
      <c r="AB23" s="14">
        <f t="shared" si="43"/>
        <v>27.074903820162948</v>
      </c>
      <c r="AC23" s="14">
        <f t="shared" si="43"/>
        <v>28.180453360624458</v>
      </c>
      <c r="AD23" s="14">
        <f t="shared" si="43"/>
        <v>29.24423851546808</v>
      </c>
      <c r="AE23" s="14">
        <f t="shared" si="43"/>
        <v>22.905855419180678</v>
      </c>
      <c r="AF23" s="14">
        <f t="shared" si="43"/>
        <v>24.023863838542912</v>
      </c>
      <c r="AG23" s="14">
        <f t="shared" si="43"/>
        <v>25.09210742407442</v>
      </c>
      <c r="AH23" s="14">
        <f t="shared" si="43"/>
        <v>26.116693439823724</v>
      </c>
      <c r="AI23" s="14">
        <f t="shared" si="43"/>
        <v>27.102573632003519</v>
      </c>
      <c r="AJ23" s="10" t="s">
        <v>268</v>
      </c>
    </row>
    <row r="24" spans="1:36" x14ac:dyDescent="0.25">
      <c r="A24" s="88"/>
      <c r="B24" s="76" t="s">
        <v>135</v>
      </c>
      <c r="C24" s="11"/>
      <c r="D24" s="11"/>
      <c r="E24" s="11">
        <v>1.1000000000000001</v>
      </c>
      <c r="F24" s="11">
        <v>1.1000000000000001</v>
      </c>
      <c r="G24" s="11">
        <v>1.1000000000000001</v>
      </c>
      <c r="H24" s="11">
        <v>1.1000000000000001</v>
      </c>
      <c r="I24" s="11">
        <v>1.1000000000000001</v>
      </c>
      <c r="J24" s="11">
        <v>1.1000000000000001</v>
      </c>
      <c r="K24" s="11">
        <v>1.1000000000000001</v>
      </c>
      <c r="L24" s="11">
        <v>1.1000000000000001</v>
      </c>
      <c r="M24" s="11">
        <v>1.1000000000000001</v>
      </c>
      <c r="N24" s="11">
        <v>1.1000000000000001</v>
      </c>
      <c r="O24" s="11">
        <v>1.1000000000000001</v>
      </c>
      <c r="P24" s="11">
        <v>1.1000000000000001</v>
      </c>
      <c r="Q24" s="11">
        <v>1.1000000000000001</v>
      </c>
      <c r="R24" s="11">
        <v>1.1000000000000001</v>
      </c>
      <c r="S24" s="11">
        <v>1.1000000000000001</v>
      </c>
      <c r="T24" s="11">
        <v>1.1000000000000001</v>
      </c>
      <c r="U24" s="11">
        <v>1.1000000000000001</v>
      </c>
      <c r="V24" s="11">
        <v>1.1000000000000001</v>
      </c>
      <c r="W24" s="11">
        <v>1.1000000000000001</v>
      </c>
      <c r="X24" s="11">
        <v>1.1000000000000001</v>
      </c>
      <c r="Y24" s="11">
        <v>1.1000000000000001</v>
      </c>
      <c r="Z24" s="11">
        <v>1.1000000000000001</v>
      </c>
      <c r="AA24" s="11">
        <v>1.1000000000000001</v>
      </c>
      <c r="AB24" s="11">
        <v>1.1000000000000001</v>
      </c>
      <c r="AC24" s="11">
        <v>1.1000000000000001</v>
      </c>
      <c r="AD24" s="11">
        <v>1.1000000000000001</v>
      </c>
      <c r="AE24" s="11">
        <v>1.1000000000000001</v>
      </c>
      <c r="AF24" s="11">
        <v>1.1000000000000001</v>
      </c>
      <c r="AG24" s="11">
        <v>1.1000000000000001</v>
      </c>
      <c r="AH24" s="11">
        <v>1.1000000000000001</v>
      </c>
      <c r="AI24" s="11">
        <v>1.1000000000000001</v>
      </c>
      <c r="AJ24" s="10"/>
    </row>
    <row r="25" spans="1:36" x14ac:dyDescent="0.25">
      <c r="A25" s="88"/>
      <c r="B25" s="95" t="s">
        <v>267</v>
      </c>
      <c r="C25" s="11" t="s">
        <v>131</v>
      </c>
      <c r="D25" s="11" t="s">
        <v>105</v>
      </c>
      <c r="E25" s="14">
        <f t="shared" ref="E25:N25" si="44">CONVERT(1,"m/sec","kn")*E26</f>
        <v>52.848236893233199</v>
      </c>
      <c r="F25" s="14">
        <f t="shared" si="44"/>
        <v>55.427698463815219</v>
      </c>
      <c r="G25" s="14">
        <f t="shared" si="44"/>
        <v>57.892342941601122</v>
      </c>
      <c r="H25" s="14">
        <f t="shared" si="44"/>
        <v>60.256260965482099</v>
      </c>
      <c r="I25" s="14">
        <f t="shared" si="44"/>
        <v>62.530877171303239</v>
      </c>
      <c r="J25" s="14">
        <f t="shared" si="44"/>
        <v>49.857461161267572</v>
      </c>
      <c r="K25" s="14">
        <f t="shared" si="44"/>
        <v>52.290946413237116</v>
      </c>
      <c r="L25" s="14">
        <f t="shared" si="44"/>
        <v>54.616112275927932</v>
      </c>
      <c r="M25" s="14">
        <f t="shared" si="44"/>
        <v>56.846251973912018</v>
      </c>
      <c r="N25" s="14">
        <f t="shared" si="44"/>
        <v>58.992143602569882</v>
      </c>
      <c r="O25" s="14">
        <f t="shared" ref="O25:AI25" si="45">CONVERT(1,"m/sec","kn")*O26</f>
        <v>62.530877171303239</v>
      </c>
      <c r="P25" s="14">
        <f t="shared" si="45"/>
        <v>52.848236893233199</v>
      </c>
      <c r="Q25" s="14">
        <f t="shared" si="45"/>
        <v>55.427698463815219</v>
      </c>
      <c r="R25" s="14">
        <f t="shared" si="45"/>
        <v>57.892342941601122</v>
      </c>
      <c r="S25" s="14">
        <f t="shared" si="45"/>
        <v>60.256260965482099</v>
      </c>
      <c r="T25" s="14">
        <f t="shared" si="45"/>
        <v>62.530877171303239</v>
      </c>
      <c r="U25" s="14">
        <f t="shared" si="45"/>
        <v>48.977962991336653</v>
      </c>
      <c r="V25" s="14">
        <f t="shared" si="45"/>
        <v>51.368520950664106</v>
      </c>
      <c r="W25" s="14">
        <f t="shared" si="45"/>
        <v>53.652670302016581</v>
      </c>
      <c r="X25" s="14">
        <f t="shared" si="45"/>
        <v>55.84346977413712</v>
      </c>
      <c r="Y25" s="14">
        <f t="shared" si="45"/>
        <v>57.951507334089605</v>
      </c>
      <c r="Z25" s="14">
        <f t="shared" si="45"/>
        <v>52.848236893233199</v>
      </c>
      <c r="AA25" s="14">
        <f t="shared" si="45"/>
        <v>55.427698463815219</v>
      </c>
      <c r="AB25" s="14">
        <f t="shared" si="45"/>
        <v>57.892342941601122</v>
      </c>
      <c r="AC25" s="14">
        <f t="shared" si="45"/>
        <v>60.256260965482099</v>
      </c>
      <c r="AD25" s="14">
        <f t="shared" si="45"/>
        <v>62.530877171303239</v>
      </c>
      <c r="AE25" s="14">
        <f t="shared" si="45"/>
        <v>48.977962991336653</v>
      </c>
      <c r="AF25" s="14">
        <f t="shared" si="45"/>
        <v>51.368520950664106</v>
      </c>
      <c r="AG25" s="14">
        <f t="shared" si="45"/>
        <v>53.652670302016581</v>
      </c>
      <c r="AH25" s="14">
        <f t="shared" si="45"/>
        <v>55.84346977413712</v>
      </c>
      <c r="AI25" s="14">
        <f t="shared" si="45"/>
        <v>57.951507334089605</v>
      </c>
      <c r="AJ25" s="10"/>
    </row>
    <row r="26" spans="1:36" x14ac:dyDescent="0.25">
      <c r="A26" s="88"/>
      <c r="B26" s="95"/>
      <c r="C26" s="11" t="s">
        <v>116</v>
      </c>
      <c r="D26" s="11" t="s">
        <v>19</v>
      </c>
      <c r="E26" s="14">
        <f t="shared" ref="E26:N26" si="46">E21*E24</f>
        <v>27.187481868407747</v>
      </c>
      <c r="F26" s="14">
        <f t="shared" ref="F26" si="47">F21*F24</f>
        <v>28.514471543051609</v>
      </c>
      <c r="G26" s="14">
        <f t="shared" si="46"/>
        <v>29.782394202179244</v>
      </c>
      <c r="H26" s="14">
        <f t="shared" ref="H26" si="48">H21*H24</f>
        <v>30.998498696686905</v>
      </c>
      <c r="I26" s="14">
        <f t="shared" si="46"/>
        <v>32.168662367014889</v>
      </c>
      <c r="J26" s="14">
        <f t="shared" si="46"/>
        <v>25.648893908518765</v>
      </c>
      <c r="K26" s="14">
        <f t="shared" ref="K26" si="49">K21*K24</f>
        <v>26.900786877031983</v>
      </c>
      <c r="L26" s="14">
        <f t="shared" si="46"/>
        <v>28.096955537505149</v>
      </c>
      <c r="M26" s="14">
        <f t="shared" ref="M26" si="50">M21*M24</f>
        <v>29.244238515468073</v>
      </c>
      <c r="N26" s="14">
        <f t="shared" si="46"/>
        <v>30.348180542210951</v>
      </c>
      <c r="O26" s="14">
        <f t="shared" ref="O26:Z26" si="51">O21*O24</f>
        <v>32.168662367014889</v>
      </c>
      <c r="P26" s="14">
        <f t="shared" si="51"/>
        <v>27.187481868407747</v>
      </c>
      <c r="Q26" s="14">
        <f t="shared" ref="Q26:R26" si="52">Q21*Q24</f>
        <v>28.514471543051609</v>
      </c>
      <c r="R26" s="14">
        <f t="shared" si="52"/>
        <v>29.782394202179244</v>
      </c>
      <c r="S26" s="14">
        <f t="shared" ref="S26:W26" si="53">S21*S24</f>
        <v>30.998498696686905</v>
      </c>
      <c r="T26" s="14">
        <f t="shared" si="53"/>
        <v>32.168662367014889</v>
      </c>
      <c r="U26" s="14">
        <f t="shared" si="53"/>
        <v>25.196440961098748</v>
      </c>
      <c r="V26" s="14">
        <f t="shared" si="53"/>
        <v>26.426250222397204</v>
      </c>
      <c r="W26" s="14">
        <f t="shared" si="53"/>
        <v>27.601318166481864</v>
      </c>
      <c r="X26" s="14">
        <f t="shared" ref="X26:Y26" si="54">X21*X24</f>
        <v>28.728362783806098</v>
      </c>
      <c r="Y26" s="14">
        <f t="shared" si="54"/>
        <v>29.812830995203875</v>
      </c>
      <c r="Z26" s="14">
        <f t="shared" si="51"/>
        <v>27.187481868407747</v>
      </c>
      <c r="AA26" s="14">
        <f t="shared" ref="AA26:AB26" si="55">AA21*AA24</f>
        <v>28.514471543051609</v>
      </c>
      <c r="AB26" s="14">
        <f t="shared" si="55"/>
        <v>29.782394202179244</v>
      </c>
      <c r="AC26" s="14">
        <f t="shared" ref="AC26:AF26" si="56">AC21*AC24</f>
        <v>30.998498696686905</v>
      </c>
      <c r="AD26" s="14">
        <f t="shared" si="56"/>
        <v>32.168662367014889</v>
      </c>
      <c r="AE26" s="14">
        <f t="shared" si="56"/>
        <v>25.196440961098748</v>
      </c>
      <c r="AF26" s="14">
        <f t="shared" si="56"/>
        <v>26.426250222397204</v>
      </c>
      <c r="AG26" s="14">
        <f t="shared" ref="AG26:AI26" si="57">AG21*AG24</f>
        <v>27.601318166481864</v>
      </c>
      <c r="AH26" s="14">
        <f t="shared" si="57"/>
        <v>28.728362783806098</v>
      </c>
      <c r="AI26" s="14">
        <f t="shared" si="57"/>
        <v>29.812830995203875</v>
      </c>
      <c r="AJ26" s="10" t="s">
        <v>269</v>
      </c>
    </row>
    <row r="27" spans="1:36" x14ac:dyDescent="0.25">
      <c r="A27" s="88"/>
      <c r="B27" s="95" t="s">
        <v>273</v>
      </c>
      <c r="C27" s="11" t="s">
        <v>270</v>
      </c>
      <c r="D27" s="11" t="s">
        <v>105</v>
      </c>
      <c r="E27" s="14">
        <f t="shared" ref="E27:N27" si="58">CONVERT(1,"m/sec","kn")*E28</f>
        <v>52.848236893233199</v>
      </c>
      <c r="F27" s="14">
        <f t="shared" si="58"/>
        <v>55.427698463815219</v>
      </c>
      <c r="G27" s="14">
        <f t="shared" si="58"/>
        <v>57.892342941601122</v>
      </c>
      <c r="H27" s="14">
        <f t="shared" si="58"/>
        <v>60.256260965482099</v>
      </c>
      <c r="I27" s="14">
        <f t="shared" si="58"/>
        <v>62.530877171303239</v>
      </c>
      <c r="J27" s="14">
        <f t="shared" si="58"/>
        <v>49.857461161267572</v>
      </c>
      <c r="K27" s="14">
        <f t="shared" si="58"/>
        <v>52.290946413237116</v>
      </c>
      <c r="L27" s="14">
        <f t="shared" si="58"/>
        <v>54.616112275927932</v>
      </c>
      <c r="M27" s="14">
        <f t="shared" si="58"/>
        <v>56.846251973912018</v>
      </c>
      <c r="N27" s="14">
        <f t="shared" si="58"/>
        <v>58.992143602569882</v>
      </c>
      <c r="O27" s="14">
        <f t="shared" ref="O27:AI27" si="59">CONVERT(1,"m/sec","kn")*O28</f>
        <v>60.256260965482099</v>
      </c>
      <c r="P27" s="14">
        <f t="shared" si="59"/>
        <v>52.848236893233199</v>
      </c>
      <c r="Q27" s="14">
        <f t="shared" si="59"/>
        <v>55.427698463815219</v>
      </c>
      <c r="R27" s="14">
        <f t="shared" si="59"/>
        <v>57.892342941601122</v>
      </c>
      <c r="S27" s="14">
        <f t="shared" si="59"/>
        <v>60.256260965482099</v>
      </c>
      <c r="T27" s="14">
        <f t="shared" si="59"/>
        <v>62.530877171303239</v>
      </c>
      <c r="U27" s="14">
        <f t="shared" si="59"/>
        <v>48.977962991336653</v>
      </c>
      <c r="V27" s="14">
        <f t="shared" si="59"/>
        <v>51.368520950664106</v>
      </c>
      <c r="W27" s="14">
        <f t="shared" si="59"/>
        <v>53.652670302016581</v>
      </c>
      <c r="X27" s="14">
        <f t="shared" si="59"/>
        <v>55.84346977413712</v>
      </c>
      <c r="Y27" s="14">
        <f t="shared" si="59"/>
        <v>57.951507334089605</v>
      </c>
      <c r="Z27" s="14">
        <f t="shared" si="59"/>
        <v>52.848236893233199</v>
      </c>
      <c r="AA27" s="14">
        <f t="shared" si="59"/>
        <v>55.427698463815219</v>
      </c>
      <c r="AB27" s="14">
        <f t="shared" si="59"/>
        <v>57.892342941601122</v>
      </c>
      <c r="AC27" s="14">
        <f t="shared" si="59"/>
        <v>60.256260965482099</v>
      </c>
      <c r="AD27" s="14">
        <f t="shared" si="59"/>
        <v>62.530877171303239</v>
      </c>
      <c r="AE27" s="14">
        <f t="shared" si="59"/>
        <v>48.977962991336653</v>
      </c>
      <c r="AF27" s="14">
        <f t="shared" si="59"/>
        <v>51.368520950664106</v>
      </c>
      <c r="AG27" s="14">
        <f t="shared" si="59"/>
        <v>53.652670302016581</v>
      </c>
      <c r="AH27" s="14">
        <f t="shared" si="59"/>
        <v>55.84346977413712</v>
      </c>
      <c r="AI27" s="14">
        <f t="shared" si="59"/>
        <v>57.951507334089605</v>
      </c>
      <c r="AJ27" s="10"/>
    </row>
    <row r="28" spans="1:36" x14ac:dyDescent="0.25">
      <c r="A28" s="88"/>
      <c r="B28" s="95"/>
      <c r="C28" s="11" t="s">
        <v>271</v>
      </c>
      <c r="D28" s="11" t="s">
        <v>19</v>
      </c>
      <c r="E28" s="14">
        <f t="shared" ref="E28:N28" si="60">E23*E24</f>
        <v>27.187481868407747</v>
      </c>
      <c r="F28" s="14">
        <f t="shared" ref="F28" si="61">F23*F24</f>
        <v>28.514471543051609</v>
      </c>
      <c r="G28" s="14">
        <f t="shared" si="60"/>
        <v>29.782394202179244</v>
      </c>
      <c r="H28" s="14">
        <f t="shared" ref="H28" si="62">H23*H24</f>
        <v>30.998498696686905</v>
      </c>
      <c r="I28" s="14">
        <f t="shared" si="60"/>
        <v>32.168662367014889</v>
      </c>
      <c r="J28" s="14">
        <f t="shared" si="60"/>
        <v>25.648893908518765</v>
      </c>
      <c r="K28" s="14">
        <f t="shared" ref="K28" si="63">K23*K24</f>
        <v>26.900786877031983</v>
      </c>
      <c r="L28" s="14">
        <f t="shared" si="60"/>
        <v>28.096955537505149</v>
      </c>
      <c r="M28" s="14">
        <f t="shared" ref="M28" si="64">M23*M24</f>
        <v>29.244238515468073</v>
      </c>
      <c r="N28" s="14">
        <f t="shared" si="60"/>
        <v>30.348180542210951</v>
      </c>
      <c r="O28" s="14">
        <f t="shared" ref="O28:Z28" si="65">O23*O24</f>
        <v>30.998498696686905</v>
      </c>
      <c r="P28" s="14">
        <f t="shared" si="65"/>
        <v>27.187481868407747</v>
      </c>
      <c r="Q28" s="14">
        <f t="shared" ref="Q28:R28" si="66">Q23*Q24</f>
        <v>28.514471543051609</v>
      </c>
      <c r="R28" s="14">
        <f t="shared" si="66"/>
        <v>29.782394202179244</v>
      </c>
      <c r="S28" s="14">
        <f t="shared" ref="S28:W28" si="67">S23*S24</f>
        <v>30.998498696686905</v>
      </c>
      <c r="T28" s="14">
        <f t="shared" si="67"/>
        <v>32.168662367014889</v>
      </c>
      <c r="U28" s="14">
        <f t="shared" si="67"/>
        <v>25.196440961098748</v>
      </c>
      <c r="V28" s="14">
        <f t="shared" si="67"/>
        <v>26.426250222397204</v>
      </c>
      <c r="W28" s="14">
        <f t="shared" si="67"/>
        <v>27.601318166481864</v>
      </c>
      <c r="X28" s="14">
        <f t="shared" ref="X28:Y28" si="68">X23*X24</f>
        <v>28.728362783806098</v>
      </c>
      <c r="Y28" s="14">
        <f t="shared" si="68"/>
        <v>29.812830995203875</v>
      </c>
      <c r="Z28" s="14">
        <f t="shared" si="65"/>
        <v>27.187481868407747</v>
      </c>
      <c r="AA28" s="14">
        <f t="shared" ref="AA28:AB28" si="69">AA23*AA24</f>
        <v>28.514471543051609</v>
      </c>
      <c r="AB28" s="14">
        <f t="shared" si="69"/>
        <v>29.782394202179244</v>
      </c>
      <c r="AC28" s="14">
        <f t="shared" ref="AC28:AF28" si="70">AC23*AC24</f>
        <v>30.998498696686905</v>
      </c>
      <c r="AD28" s="14">
        <f t="shared" si="70"/>
        <v>32.168662367014889</v>
      </c>
      <c r="AE28" s="14">
        <f t="shared" si="70"/>
        <v>25.196440961098748</v>
      </c>
      <c r="AF28" s="14">
        <f t="shared" si="70"/>
        <v>26.426250222397204</v>
      </c>
      <c r="AG28" s="14">
        <f t="shared" ref="AG28:AI28" si="71">AG23*AG24</f>
        <v>27.601318166481864</v>
      </c>
      <c r="AH28" s="14">
        <f t="shared" si="71"/>
        <v>28.728362783806098</v>
      </c>
      <c r="AI28" s="14">
        <f t="shared" si="71"/>
        <v>29.812830995203875</v>
      </c>
      <c r="AJ28" s="10" t="s">
        <v>272</v>
      </c>
    </row>
    <row r="29" spans="1:36" x14ac:dyDescent="0.25">
      <c r="A29" s="95" t="s">
        <v>125</v>
      </c>
      <c r="B29" s="95" t="s">
        <v>111</v>
      </c>
      <c r="C29" s="11" t="s">
        <v>114</v>
      </c>
      <c r="D29" s="11" t="s">
        <v>115</v>
      </c>
      <c r="E29" s="16">
        <v>276.5</v>
      </c>
      <c r="F29" s="16">
        <v>276.5</v>
      </c>
      <c r="G29" s="16">
        <v>276.5</v>
      </c>
      <c r="H29" s="16">
        <v>276.5</v>
      </c>
      <c r="I29" s="16">
        <v>276.5</v>
      </c>
      <c r="J29" s="16">
        <v>276.5</v>
      </c>
      <c r="K29" s="16">
        <v>276.5</v>
      </c>
      <c r="L29" s="16">
        <v>276.5</v>
      </c>
      <c r="M29" s="16">
        <v>276.5</v>
      </c>
      <c r="N29" s="16">
        <v>276.5</v>
      </c>
      <c r="O29" s="16">
        <v>276.5</v>
      </c>
      <c r="P29" s="16">
        <v>276.5</v>
      </c>
      <c r="Q29" s="16">
        <v>276.5</v>
      </c>
      <c r="R29" s="16">
        <v>276.5</v>
      </c>
      <c r="S29" s="16">
        <v>276.5</v>
      </c>
      <c r="T29" s="16">
        <v>276.5</v>
      </c>
      <c r="U29" s="16">
        <v>276.5</v>
      </c>
      <c r="V29" s="16">
        <v>276.5</v>
      </c>
      <c r="W29" s="16">
        <v>276.5</v>
      </c>
      <c r="X29" s="16">
        <v>276.5</v>
      </c>
      <c r="Y29" s="16">
        <v>276.5</v>
      </c>
      <c r="Z29" s="16">
        <v>276.5</v>
      </c>
      <c r="AA29" s="16">
        <v>276.5</v>
      </c>
      <c r="AB29" s="16">
        <v>276.5</v>
      </c>
      <c r="AC29" s="16">
        <v>276.5</v>
      </c>
      <c r="AD29" s="16">
        <v>276.5</v>
      </c>
      <c r="AE29" s="16">
        <v>276.5</v>
      </c>
      <c r="AF29" s="16">
        <v>276.5</v>
      </c>
      <c r="AG29" s="16">
        <v>276.5</v>
      </c>
      <c r="AH29" s="16">
        <v>276.5</v>
      </c>
      <c r="AI29" s="16">
        <v>276.5</v>
      </c>
      <c r="AJ29" s="10"/>
    </row>
    <row r="30" spans="1:36" x14ac:dyDescent="0.25">
      <c r="A30" s="95"/>
      <c r="B30" s="95"/>
      <c r="C30" s="11" t="s">
        <v>113</v>
      </c>
      <c r="D30" s="11" t="s">
        <v>112</v>
      </c>
      <c r="E30" s="17">
        <f t="shared" ref="E30:G30" si="72">E29*CONVERT(1,"ft","m")^2</f>
        <v>25.68769056</v>
      </c>
      <c r="F30" s="17">
        <f t="shared" ref="F30" si="73">F29*CONVERT(1,"ft","m")^2</f>
        <v>25.68769056</v>
      </c>
      <c r="G30" s="17">
        <f t="shared" si="72"/>
        <v>25.68769056</v>
      </c>
      <c r="H30" s="17">
        <f t="shared" ref="H30" si="74">H29*CONVERT(1,"ft","m")^2</f>
        <v>25.68769056</v>
      </c>
      <c r="I30" s="17">
        <f t="shared" ref="I30:Z30" si="75">I29*CONVERT(1,"ft","m")^2</f>
        <v>25.68769056</v>
      </c>
      <c r="J30" s="17">
        <f t="shared" ref="J30:N30" si="76">J29*CONVERT(1,"ft","m")^2</f>
        <v>25.68769056</v>
      </c>
      <c r="K30" s="17">
        <f t="shared" ref="K30" si="77">K29*CONVERT(1,"ft","m")^2</f>
        <v>25.68769056</v>
      </c>
      <c r="L30" s="17">
        <f t="shared" ref="L30:M30" si="78">L29*CONVERT(1,"ft","m")^2</f>
        <v>25.68769056</v>
      </c>
      <c r="M30" s="17">
        <f t="shared" si="78"/>
        <v>25.68769056</v>
      </c>
      <c r="N30" s="17">
        <f t="shared" si="76"/>
        <v>25.68769056</v>
      </c>
      <c r="O30" s="17">
        <f t="shared" si="75"/>
        <v>25.68769056</v>
      </c>
      <c r="P30" s="17">
        <f t="shared" si="75"/>
        <v>25.68769056</v>
      </c>
      <c r="Q30" s="17">
        <f t="shared" ref="Q30:R30" si="79">Q29*CONVERT(1,"ft","m")^2</f>
        <v>25.68769056</v>
      </c>
      <c r="R30" s="17">
        <f t="shared" si="79"/>
        <v>25.68769056</v>
      </c>
      <c r="S30" s="17">
        <f t="shared" ref="S30:W30" si="80">S29*CONVERT(1,"ft","m")^2</f>
        <v>25.68769056</v>
      </c>
      <c r="T30" s="17">
        <f t="shared" si="80"/>
        <v>25.68769056</v>
      </c>
      <c r="U30" s="17">
        <f t="shared" si="80"/>
        <v>25.68769056</v>
      </c>
      <c r="V30" s="17">
        <f t="shared" si="80"/>
        <v>25.68769056</v>
      </c>
      <c r="W30" s="17">
        <f t="shared" si="80"/>
        <v>25.68769056</v>
      </c>
      <c r="X30" s="17">
        <f t="shared" ref="X30:Y30" si="81">X29*CONVERT(1,"ft","m")^2</f>
        <v>25.68769056</v>
      </c>
      <c r="Y30" s="17">
        <f t="shared" si="81"/>
        <v>25.68769056</v>
      </c>
      <c r="Z30" s="17">
        <f t="shared" si="75"/>
        <v>25.68769056</v>
      </c>
      <c r="AA30" s="17">
        <f t="shared" ref="AA30:AB30" si="82">AA29*CONVERT(1,"ft","m")^2</f>
        <v>25.68769056</v>
      </c>
      <c r="AB30" s="17">
        <f t="shared" si="82"/>
        <v>25.68769056</v>
      </c>
      <c r="AC30" s="17">
        <f t="shared" ref="AC30:AF30" si="83">AC29*CONVERT(1,"ft","m")^2</f>
        <v>25.68769056</v>
      </c>
      <c r="AD30" s="17">
        <f t="shared" si="83"/>
        <v>25.68769056</v>
      </c>
      <c r="AE30" s="17">
        <f t="shared" si="83"/>
        <v>25.68769056</v>
      </c>
      <c r="AF30" s="17">
        <f t="shared" si="83"/>
        <v>25.68769056</v>
      </c>
      <c r="AG30" s="17">
        <f t="shared" ref="AG30:AI30" si="84">AG29*CONVERT(1,"ft","m")^2</f>
        <v>25.68769056</v>
      </c>
      <c r="AH30" s="17">
        <f t="shared" si="84"/>
        <v>25.68769056</v>
      </c>
      <c r="AI30" s="17">
        <f t="shared" si="84"/>
        <v>25.68769056</v>
      </c>
      <c r="AJ30" s="10"/>
    </row>
    <row r="31" spans="1:36" x14ac:dyDescent="0.25">
      <c r="A31" s="95"/>
      <c r="B31" s="87" t="s">
        <v>144</v>
      </c>
      <c r="C31" s="11" t="s">
        <v>145</v>
      </c>
      <c r="D31" s="11" t="s">
        <v>100</v>
      </c>
      <c r="E31" s="16">
        <v>55.3</v>
      </c>
      <c r="F31" s="16">
        <v>55.3</v>
      </c>
      <c r="G31" s="16">
        <v>55.3</v>
      </c>
      <c r="H31" s="16">
        <v>55.3</v>
      </c>
      <c r="I31" s="16">
        <v>55.3</v>
      </c>
      <c r="J31" s="16">
        <v>55.3</v>
      </c>
      <c r="K31" s="16">
        <v>55.3</v>
      </c>
      <c r="L31" s="16">
        <v>55.3</v>
      </c>
      <c r="M31" s="16">
        <v>55.3</v>
      </c>
      <c r="N31" s="16">
        <v>55.3</v>
      </c>
      <c r="O31" s="16">
        <v>55.3</v>
      </c>
      <c r="P31" s="16">
        <v>55.3</v>
      </c>
      <c r="Q31" s="16">
        <v>55.3</v>
      </c>
      <c r="R31" s="16">
        <v>55.3</v>
      </c>
      <c r="S31" s="16">
        <v>55.3</v>
      </c>
      <c r="T31" s="16">
        <v>55.3</v>
      </c>
      <c r="U31" s="16">
        <v>55.3</v>
      </c>
      <c r="V31" s="16">
        <v>55.3</v>
      </c>
      <c r="W31" s="16">
        <v>55.3</v>
      </c>
      <c r="X31" s="16">
        <v>55.3</v>
      </c>
      <c r="Y31" s="16">
        <v>55.3</v>
      </c>
      <c r="Z31" s="16">
        <v>55.3</v>
      </c>
      <c r="AA31" s="16">
        <v>55.3</v>
      </c>
      <c r="AB31" s="16">
        <v>55.3</v>
      </c>
      <c r="AC31" s="16">
        <v>55.3</v>
      </c>
      <c r="AD31" s="16">
        <v>55.3</v>
      </c>
      <c r="AE31" s="16">
        <v>55.3</v>
      </c>
      <c r="AF31" s="16">
        <v>55.3</v>
      </c>
      <c r="AG31" s="16">
        <v>55.3</v>
      </c>
      <c r="AH31" s="16">
        <v>55.3</v>
      </c>
      <c r="AI31" s="16">
        <v>55.3</v>
      </c>
      <c r="AJ31" s="10"/>
    </row>
    <row r="32" spans="1:36" x14ac:dyDescent="0.25">
      <c r="A32" s="95"/>
      <c r="B32" s="89"/>
      <c r="C32" s="11" t="s">
        <v>146</v>
      </c>
      <c r="D32" s="11" t="s">
        <v>106</v>
      </c>
      <c r="E32" s="17">
        <f t="shared" ref="E32:G32" si="85">E31*CONVERT(1,"ft","m")</f>
        <v>16.855440000000002</v>
      </c>
      <c r="F32" s="17">
        <f t="shared" ref="F32" si="86">F31*CONVERT(1,"ft","m")</f>
        <v>16.855440000000002</v>
      </c>
      <c r="G32" s="17">
        <f t="shared" si="85"/>
        <v>16.855440000000002</v>
      </c>
      <c r="H32" s="17">
        <f t="shared" ref="H32" si="87">H31*CONVERT(1,"ft","m")</f>
        <v>16.855440000000002</v>
      </c>
      <c r="I32" s="17">
        <f t="shared" ref="I32:Z32" si="88">I31*CONVERT(1,"ft","m")</f>
        <v>16.855440000000002</v>
      </c>
      <c r="J32" s="17">
        <f t="shared" ref="J32:N32" si="89">J31*CONVERT(1,"ft","m")</f>
        <v>16.855440000000002</v>
      </c>
      <c r="K32" s="17">
        <f t="shared" ref="K32" si="90">K31*CONVERT(1,"ft","m")</f>
        <v>16.855440000000002</v>
      </c>
      <c r="L32" s="17">
        <f t="shared" ref="L32:M32" si="91">L31*CONVERT(1,"ft","m")</f>
        <v>16.855440000000002</v>
      </c>
      <c r="M32" s="17">
        <f t="shared" si="91"/>
        <v>16.855440000000002</v>
      </c>
      <c r="N32" s="17">
        <f t="shared" si="89"/>
        <v>16.855440000000002</v>
      </c>
      <c r="O32" s="17">
        <f t="shared" si="88"/>
        <v>16.855440000000002</v>
      </c>
      <c r="P32" s="17">
        <f t="shared" si="88"/>
        <v>16.855440000000002</v>
      </c>
      <c r="Q32" s="17">
        <f t="shared" ref="Q32:R32" si="92">Q31*CONVERT(1,"ft","m")</f>
        <v>16.855440000000002</v>
      </c>
      <c r="R32" s="17">
        <f t="shared" si="92"/>
        <v>16.855440000000002</v>
      </c>
      <c r="S32" s="17">
        <f t="shared" ref="S32:W32" si="93">S31*CONVERT(1,"ft","m")</f>
        <v>16.855440000000002</v>
      </c>
      <c r="T32" s="17">
        <f t="shared" si="93"/>
        <v>16.855440000000002</v>
      </c>
      <c r="U32" s="17">
        <f t="shared" si="93"/>
        <v>16.855440000000002</v>
      </c>
      <c r="V32" s="17">
        <f t="shared" si="93"/>
        <v>16.855440000000002</v>
      </c>
      <c r="W32" s="17">
        <f t="shared" si="93"/>
        <v>16.855440000000002</v>
      </c>
      <c r="X32" s="17">
        <f t="shared" ref="X32:Y32" si="94">X31*CONVERT(1,"ft","m")</f>
        <v>16.855440000000002</v>
      </c>
      <c r="Y32" s="17">
        <f t="shared" si="94"/>
        <v>16.855440000000002</v>
      </c>
      <c r="Z32" s="17">
        <f t="shared" si="88"/>
        <v>16.855440000000002</v>
      </c>
      <c r="AA32" s="17">
        <f t="shared" ref="AA32:AB32" si="95">AA31*CONVERT(1,"ft","m")</f>
        <v>16.855440000000002</v>
      </c>
      <c r="AB32" s="17">
        <f t="shared" si="95"/>
        <v>16.855440000000002</v>
      </c>
      <c r="AC32" s="17">
        <f t="shared" ref="AC32:AF32" si="96">AC31*CONVERT(1,"ft","m")</f>
        <v>16.855440000000002</v>
      </c>
      <c r="AD32" s="17">
        <f t="shared" si="96"/>
        <v>16.855440000000002</v>
      </c>
      <c r="AE32" s="17">
        <f t="shared" si="96"/>
        <v>16.855440000000002</v>
      </c>
      <c r="AF32" s="17">
        <f t="shared" si="96"/>
        <v>16.855440000000002</v>
      </c>
      <c r="AG32" s="17">
        <f t="shared" ref="AG32:AI32" si="97">AG31*CONVERT(1,"ft","m")</f>
        <v>16.855440000000002</v>
      </c>
      <c r="AH32" s="17">
        <f t="shared" si="97"/>
        <v>16.855440000000002</v>
      </c>
      <c r="AI32" s="17">
        <f t="shared" si="97"/>
        <v>16.855440000000002</v>
      </c>
      <c r="AJ32" s="10"/>
    </row>
    <row r="33" spans="1:36" x14ac:dyDescent="0.25">
      <c r="A33" s="95"/>
      <c r="B33" s="90" t="s">
        <v>152</v>
      </c>
      <c r="C33" s="75" t="s">
        <v>140</v>
      </c>
      <c r="D33" s="75" t="s">
        <v>100</v>
      </c>
      <c r="E33" s="77">
        <v>5</v>
      </c>
      <c r="F33" s="77">
        <v>5</v>
      </c>
      <c r="G33" s="77">
        <v>5</v>
      </c>
      <c r="H33" s="77">
        <v>5</v>
      </c>
      <c r="I33" s="77">
        <v>5</v>
      </c>
      <c r="J33" s="77">
        <v>5</v>
      </c>
      <c r="K33" s="77">
        <v>5</v>
      </c>
      <c r="L33" s="77">
        <v>5</v>
      </c>
      <c r="M33" s="77">
        <v>5</v>
      </c>
      <c r="N33" s="77">
        <v>5</v>
      </c>
      <c r="O33" s="77">
        <v>5</v>
      </c>
      <c r="P33" s="77">
        <v>5</v>
      </c>
      <c r="Q33" s="77">
        <v>5</v>
      </c>
      <c r="R33" s="77">
        <v>5</v>
      </c>
      <c r="S33" s="77">
        <v>5</v>
      </c>
      <c r="T33" s="77">
        <v>5</v>
      </c>
      <c r="U33" s="77">
        <v>5</v>
      </c>
      <c r="V33" s="77">
        <v>5</v>
      </c>
      <c r="W33" s="77">
        <v>5</v>
      </c>
      <c r="X33" s="77">
        <v>5</v>
      </c>
      <c r="Y33" s="77">
        <v>5</v>
      </c>
      <c r="Z33" s="77">
        <v>5</v>
      </c>
      <c r="AA33" s="77">
        <v>5</v>
      </c>
      <c r="AB33" s="77">
        <v>5</v>
      </c>
      <c r="AC33" s="77">
        <v>5</v>
      </c>
      <c r="AD33" s="77">
        <v>5</v>
      </c>
      <c r="AE33" s="77">
        <v>5</v>
      </c>
      <c r="AF33" s="77">
        <v>5</v>
      </c>
      <c r="AG33" s="77">
        <v>5</v>
      </c>
      <c r="AH33" s="77">
        <v>5</v>
      </c>
      <c r="AI33" s="77">
        <v>5</v>
      </c>
      <c r="AJ33" s="10"/>
    </row>
    <row r="34" spans="1:36" x14ac:dyDescent="0.25">
      <c r="A34" s="95"/>
      <c r="B34" s="91"/>
      <c r="C34" s="75" t="s">
        <v>141</v>
      </c>
      <c r="D34" s="75" t="s">
        <v>106</v>
      </c>
      <c r="E34" s="75">
        <f t="shared" ref="E34:G34" si="98">E33*CONVERT(1,"ft","m")</f>
        <v>1.524</v>
      </c>
      <c r="F34" s="75">
        <f t="shared" ref="F34" si="99">F33*CONVERT(1,"ft","m")</f>
        <v>1.524</v>
      </c>
      <c r="G34" s="75">
        <f t="shared" si="98"/>
        <v>1.524</v>
      </c>
      <c r="H34" s="75">
        <f t="shared" ref="H34" si="100">H33*CONVERT(1,"ft","m")</f>
        <v>1.524</v>
      </c>
      <c r="I34" s="75">
        <f t="shared" ref="I34:Z34" si="101">I33*CONVERT(1,"ft","m")</f>
        <v>1.524</v>
      </c>
      <c r="J34" s="75">
        <f t="shared" ref="J34:N34" si="102">J33*CONVERT(1,"ft","m")</f>
        <v>1.524</v>
      </c>
      <c r="K34" s="75">
        <f t="shared" ref="K34" si="103">K33*CONVERT(1,"ft","m")</f>
        <v>1.524</v>
      </c>
      <c r="L34" s="75">
        <f t="shared" ref="L34:M34" si="104">L33*CONVERT(1,"ft","m")</f>
        <v>1.524</v>
      </c>
      <c r="M34" s="75">
        <f t="shared" si="104"/>
        <v>1.524</v>
      </c>
      <c r="N34" s="75">
        <f t="shared" si="102"/>
        <v>1.524</v>
      </c>
      <c r="O34" s="75">
        <f t="shared" si="101"/>
        <v>1.524</v>
      </c>
      <c r="P34" s="75">
        <f t="shared" si="101"/>
        <v>1.524</v>
      </c>
      <c r="Q34" s="75">
        <f t="shared" ref="Q34:R34" si="105">Q33*CONVERT(1,"ft","m")</f>
        <v>1.524</v>
      </c>
      <c r="R34" s="75">
        <f t="shared" si="105"/>
        <v>1.524</v>
      </c>
      <c r="S34" s="75">
        <f t="shared" ref="S34:W34" si="106">S33*CONVERT(1,"ft","m")</f>
        <v>1.524</v>
      </c>
      <c r="T34" s="75">
        <f t="shared" si="106"/>
        <v>1.524</v>
      </c>
      <c r="U34" s="75">
        <f t="shared" si="106"/>
        <v>1.524</v>
      </c>
      <c r="V34" s="75">
        <f t="shared" si="106"/>
        <v>1.524</v>
      </c>
      <c r="W34" s="75">
        <f t="shared" si="106"/>
        <v>1.524</v>
      </c>
      <c r="X34" s="75">
        <f t="shared" ref="X34:Y34" si="107">X33*CONVERT(1,"ft","m")</f>
        <v>1.524</v>
      </c>
      <c r="Y34" s="75">
        <f t="shared" si="107"/>
        <v>1.524</v>
      </c>
      <c r="Z34" s="75">
        <f t="shared" si="101"/>
        <v>1.524</v>
      </c>
      <c r="AA34" s="75">
        <f t="shared" ref="AA34:AB34" si="108">AA33*CONVERT(1,"ft","m")</f>
        <v>1.524</v>
      </c>
      <c r="AB34" s="75">
        <f t="shared" si="108"/>
        <v>1.524</v>
      </c>
      <c r="AC34" s="75">
        <f t="shared" ref="AC34:AF34" si="109">AC33*CONVERT(1,"ft","m")</f>
        <v>1.524</v>
      </c>
      <c r="AD34" s="75">
        <f t="shared" si="109"/>
        <v>1.524</v>
      </c>
      <c r="AE34" s="75">
        <f t="shared" si="109"/>
        <v>1.524</v>
      </c>
      <c r="AF34" s="75">
        <f t="shared" si="109"/>
        <v>1.524</v>
      </c>
      <c r="AG34" s="75">
        <f t="shared" ref="AG34:AI34" si="110">AG33*CONVERT(1,"ft","m")</f>
        <v>1.524</v>
      </c>
      <c r="AH34" s="75">
        <f t="shared" si="110"/>
        <v>1.524</v>
      </c>
      <c r="AI34" s="75">
        <f t="shared" si="110"/>
        <v>1.524</v>
      </c>
      <c r="AJ34" s="10"/>
    </row>
    <row r="35" spans="1:36" x14ac:dyDescent="0.25">
      <c r="A35" s="95"/>
      <c r="B35" s="12" t="s">
        <v>142</v>
      </c>
      <c r="C35" s="11" t="s">
        <v>143</v>
      </c>
      <c r="D35" s="11" t="s">
        <v>18</v>
      </c>
      <c r="E35" s="11">
        <f t="shared" ref="E35:G35" si="111">E32^2/E30</f>
        <v>11.06</v>
      </c>
      <c r="F35" s="11">
        <f t="shared" ref="F35" si="112">F32^2/F30</f>
        <v>11.06</v>
      </c>
      <c r="G35" s="11">
        <f t="shared" si="111"/>
        <v>11.06</v>
      </c>
      <c r="H35" s="11">
        <f t="shared" ref="H35" si="113">H32^2/H30</f>
        <v>11.06</v>
      </c>
      <c r="I35" s="11">
        <f t="shared" ref="I35:Z35" si="114">I32^2/I30</f>
        <v>11.06</v>
      </c>
      <c r="J35" s="11">
        <f t="shared" ref="J35:N35" si="115">J32^2/J30</f>
        <v>11.06</v>
      </c>
      <c r="K35" s="11">
        <f t="shared" ref="K35" si="116">K32^2/K30</f>
        <v>11.06</v>
      </c>
      <c r="L35" s="11">
        <f t="shared" ref="L35:M35" si="117">L32^2/L30</f>
        <v>11.06</v>
      </c>
      <c r="M35" s="11">
        <f t="shared" si="117"/>
        <v>11.06</v>
      </c>
      <c r="N35" s="11">
        <f t="shared" si="115"/>
        <v>11.06</v>
      </c>
      <c r="O35" s="11">
        <f t="shared" si="114"/>
        <v>11.06</v>
      </c>
      <c r="P35" s="11">
        <f t="shared" si="114"/>
        <v>11.06</v>
      </c>
      <c r="Q35" s="11">
        <f t="shared" ref="Q35:R35" si="118">Q32^2/Q30</f>
        <v>11.06</v>
      </c>
      <c r="R35" s="11">
        <f t="shared" si="118"/>
        <v>11.06</v>
      </c>
      <c r="S35" s="11">
        <f t="shared" ref="S35:W35" si="119">S32^2/S30</f>
        <v>11.06</v>
      </c>
      <c r="T35" s="11">
        <f t="shared" si="119"/>
        <v>11.06</v>
      </c>
      <c r="U35" s="11">
        <f t="shared" si="119"/>
        <v>11.06</v>
      </c>
      <c r="V35" s="11">
        <f t="shared" si="119"/>
        <v>11.06</v>
      </c>
      <c r="W35" s="11">
        <f t="shared" si="119"/>
        <v>11.06</v>
      </c>
      <c r="X35" s="11">
        <f t="shared" ref="X35:Y35" si="120">X32^2/X30</f>
        <v>11.06</v>
      </c>
      <c r="Y35" s="11">
        <f t="shared" si="120"/>
        <v>11.06</v>
      </c>
      <c r="Z35" s="11">
        <f t="shared" si="114"/>
        <v>11.06</v>
      </c>
      <c r="AA35" s="11">
        <f t="shared" ref="AA35:AB35" si="121">AA32^2/AA30</f>
        <v>11.06</v>
      </c>
      <c r="AB35" s="11">
        <f t="shared" si="121"/>
        <v>11.06</v>
      </c>
      <c r="AC35" s="11">
        <f t="shared" ref="AC35:AF35" si="122">AC32^2/AC30</f>
        <v>11.06</v>
      </c>
      <c r="AD35" s="11">
        <f t="shared" si="122"/>
        <v>11.06</v>
      </c>
      <c r="AE35" s="11">
        <f t="shared" si="122"/>
        <v>11.06</v>
      </c>
      <c r="AF35" s="11">
        <f t="shared" si="122"/>
        <v>11.06</v>
      </c>
      <c r="AG35" s="11">
        <f t="shared" ref="AG35:AI35" si="123">AG32^2/AG30</f>
        <v>11.06</v>
      </c>
      <c r="AH35" s="11">
        <f t="shared" si="123"/>
        <v>11.06</v>
      </c>
      <c r="AI35" s="11">
        <f t="shared" si="123"/>
        <v>11.06</v>
      </c>
      <c r="AJ35" s="10"/>
    </row>
    <row r="36" spans="1:36" x14ac:dyDescent="0.25">
      <c r="A36" s="95"/>
      <c r="B36" s="74" t="s">
        <v>126</v>
      </c>
      <c r="C36" s="74" t="s">
        <v>129</v>
      </c>
      <c r="D36" s="74" t="s">
        <v>127</v>
      </c>
      <c r="E36" s="74">
        <v>10</v>
      </c>
      <c r="F36" s="74">
        <v>10</v>
      </c>
      <c r="G36" s="74">
        <v>10</v>
      </c>
      <c r="H36" s="74">
        <v>10</v>
      </c>
      <c r="I36" s="74">
        <v>10</v>
      </c>
      <c r="J36" s="74">
        <v>10</v>
      </c>
      <c r="K36" s="74">
        <v>10</v>
      </c>
      <c r="L36" s="74">
        <v>10</v>
      </c>
      <c r="M36" s="74">
        <v>10</v>
      </c>
      <c r="N36" s="74">
        <v>10</v>
      </c>
      <c r="O36" s="74">
        <v>10</v>
      </c>
      <c r="P36" s="74">
        <v>10</v>
      </c>
      <c r="Q36" s="74">
        <v>10</v>
      </c>
      <c r="R36" s="74">
        <v>10</v>
      </c>
      <c r="S36" s="74">
        <v>10</v>
      </c>
      <c r="T36" s="74">
        <v>10</v>
      </c>
      <c r="U36" s="74">
        <v>10</v>
      </c>
      <c r="V36" s="74">
        <v>10</v>
      </c>
      <c r="W36" s="74">
        <v>10</v>
      </c>
      <c r="X36" s="74">
        <v>10</v>
      </c>
      <c r="Y36" s="74">
        <v>10</v>
      </c>
      <c r="Z36" s="74">
        <v>10</v>
      </c>
      <c r="AA36" s="74">
        <v>10</v>
      </c>
      <c r="AB36" s="74">
        <v>10</v>
      </c>
      <c r="AC36" s="74">
        <v>10</v>
      </c>
      <c r="AD36" s="74">
        <v>10</v>
      </c>
      <c r="AE36" s="74">
        <v>10</v>
      </c>
      <c r="AF36" s="74">
        <v>10</v>
      </c>
      <c r="AG36" s="74">
        <v>10</v>
      </c>
      <c r="AH36" s="74">
        <v>10</v>
      </c>
      <c r="AI36" s="74">
        <v>10</v>
      </c>
      <c r="AJ36" s="10"/>
    </row>
    <row r="37" spans="1:36" x14ac:dyDescent="0.25">
      <c r="A37" s="95"/>
      <c r="B37" s="74" t="s">
        <v>128</v>
      </c>
      <c r="C37" s="74" t="s">
        <v>130</v>
      </c>
      <c r="D37" s="74" t="s">
        <v>127</v>
      </c>
      <c r="E37" s="74">
        <v>30</v>
      </c>
      <c r="F37" s="74">
        <v>30</v>
      </c>
      <c r="G37" s="74">
        <v>30</v>
      </c>
      <c r="H37" s="74">
        <v>30</v>
      </c>
      <c r="I37" s="74">
        <v>30</v>
      </c>
      <c r="J37" s="74">
        <v>30</v>
      </c>
      <c r="K37" s="74">
        <v>30</v>
      </c>
      <c r="L37" s="74">
        <v>30</v>
      </c>
      <c r="M37" s="74">
        <v>30</v>
      </c>
      <c r="N37" s="74">
        <v>30</v>
      </c>
      <c r="O37" s="74">
        <v>30</v>
      </c>
      <c r="P37" s="74">
        <v>30</v>
      </c>
      <c r="Q37" s="74">
        <v>30</v>
      </c>
      <c r="R37" s="74">
        <v>30</v>
      </c>
      <c r="S37" s="74">
        <v>30</v>
      </c>
      <c r="T37" s="74">
        <v>30</v>
      </c>
      <c r="U37" s="74">
        <v>30</v>
      </c>
      <c r="V37" s="74">
        <v>30</v>
      </c>
      <c r="W37" s="74">
        <v>30</v>
      </c>
      <c r="X37" s="74">
        <v>30</v>
      </c>
      <c r="Y37" s="74">
        <v>30</v>
      </c>
      <c r="Z37" s="74">
        <v>30</v>
      </c>
      <c r="AA37" s="74">
        <v>30</v>
      </c>
      <c r="AB37" s="74">
        <v>30</v>
      </c>
      <c r="AC37" s="74">
        <v>30</v>
      </c>
      <c r="AD37" s="74">
        <v>30</v>
      </c>
      <c r="AE37" s="74">
        <v>30</v>
      </c>
      <c r="AF37" s="74">
        <v>30</v>
      </c>
      <c r="AG37" s="74">
        <v>30</v>
      </c>
      <c r="AH37" s="74">
        <v>30</v>
      </c>
      <c r="AI37" s="74">
        <v>30</v>
      </c>
      <c r="AJ37" s="10"/>
    </row>
    <row r="38" spans="1:36" s="13" customFormat="1" x14ac:dyDescent="0.25">
      <c r="A38" s="95"/>
      <c r="B38" s="126" t="s">
        <v>137</v>
      </c>
      <c r="C38" s="70" t="s">
        <v>147</v>
      </c>
      <c r="D38" s="70" t="s">
        <v>18</v>
      </c>
      <c r="E38" s="127">
        <v>2.8</v>
      </c>
      <c r="F38" s="127">
        <v>2.8</v>
      </c>
      <c r="G38" s="127">
        <v>2.8</v>
      </c>
      <c r="H38" s="127">
        <v>2.8</v>
      </c>
      <c r="I38" s="127">
        <v>2.8</v>
      </c>
      <c r="J38" s="127">
        <v>3.26</v>
      </c>
      <c r="K38" s="127">
        <v>3.26</v>
      </c>
      <c r="L38" s="127">
        <v>3.26</v>
      </c>
      <c r="M38" s="127">
        <v>3.26</v>
      </c>
      <c r="N38" s="127">
        <v>3.26</v>
      </c>
      <c r="O38" s="127">
        <v>2.8</v>
      </c>
      <c r="P38" s="127">
        <v>2.8</v>
      </c>
      <c r="Q38" s="127">
        <v>2.8</v>
      </c>
      <c r="R38" s="127">
        <v>2.8</v>
      </c>
      <c r="S38" s="127">
        <v>2.8</v>
      </c>
      <c r="T38" s="127">
        <v>2.8</v>
      </c>
      <c r="U38" s="127">
        <v>3.26</v>
      </c>
      <c r="V38" s="127">
        <v>3.26</v>
      </c>
      <c r="W38" s="127">
        <v>3.26</v>
      </c>
      <c r="X38" s="127">
        <v>3.26</v>
      </c>
      <c r="Y38" s="127">
        <v>3.26</v>
      </c>
      <c r="Z38" s="127">
        <v>2.8</v>
      </c>
      <c r="AA38" s="127">
        <v>2.8</v>
      </c>
      <c r="AB38" s="127">
        <v>2.8</v>
      </c>
      <c r="AC38" s="127">
        <v>2.8</v>
      </c>
      <c r="AD38" s="127">
        <v>2.8</v>
      </c>
      <c r="AE38" s="127">
        <v>3.26</v>
      </c>
      <c r="AF38" s="127">
        <v>3.26</v>
      </c>
      <c r="AG38" s="127">
        <v>3.26</v>
      </c>
      <c r="AH38" s="127">
        <v>3.26</v>
      </c>
      <c r="AI38" s="127">
        <v>3.26</v>
      </c>
      <c r="AJ38" s="124" t="s">
        <v>153</v>
      </c>
    </row>
    <row r="39" spans="1:36" x14ac:dyDescent="0.25">
      <c r="A39" s="95"/>
      <c r="B39" s="76" t="s">
        <v>154</v>
      </c>
      <c r="C39" s="11" t="s">
        <v>154</v>
      </c>
      <c r="D39" s="11"/>
      <c r="E39" s="16">
        <f t="shared" ref="E39:AI39" si="124">E38/E24^2</f>
        <v>2.3140495867768589</v>
      </c>
      <c r="F39" s="16">
        <f t="shared" si="124"/>
        <v>2.3140495867768589</v>
      </c>
      <c r="G39" s="16">
        <f t="shared" si="124"/>
        <v>2.3140495867768589</v>
      </c>
      <c r="H39" s="16">
        <f t="shared" si="124"/>
        <v>2.3140495867768589</v>
      </c>
      <c r="I39" s="16">
        <f t="shared" si="124"/>
        <v>2.3140495867768589</v>
      </c>
      <c r="J39" s="16">
        <v>2.6</v>
      </c>
      <c r="K39" s="16">
        <v>2.6</v>
      </c>
      <c r="L39" s="16">
        <v>2.6</v>
      </c>
      <c r="M39" s="16">
        <v>2.6</v>
      </c>
      <c r="N39" s="16">
        <v>2.6</v>
      </c>
      <c r="O39" s="16">
        <f t="shared" si="124"/>
        <v>2.3140495867768589</v>
      </c>
      <c r="P39" s="16">
        <f t="shared" si="124"/>
        <v>2.3140495867768589</v>
      </c>
      <c r="Q39" s="16">
        <f t="shared" si="124"/>
        <v>2.3140495867768589</v>
      </c>
      <c r="R39" s="16">
        <f t="shared" si="124"/>
        <v>2.3140495867768589</v>
      </c>
      <c r="S39" s="16">
        <f t="shared" si="124"/>
        <v>2.3140495867768589</v>
      </c>
      <c r="T39" s="16">
        <f t="shared" si="124"/>
        <v>2.3140495867768589</v>
      </c>
      <c r="U39" s="16">
        <f t="shared" si="124"/>
        <v>2.6942148760330573</v>
      </c>
      <c r="V39" s="16">
        <f t="shared" si="124"/>
        <v>2.6942148760330573</v>
      </c>
      <c r="W39" s="16">
        <f t="shared" si="124"/>
        <v>2.6942148760330573</v>
      </c>
      <c r="X39" s="16">
        <f t="shared" si="124"/>
        <v>2.6942148760330573</v>
      </c>
      <c r="Y39" s="16">
        <f t="shared" si="124"/>
        <v>2.6942148760330573</v>
      </c>
      <c r="Z39" s="16">
        <f t="shared" si="124"/>
        <v>2.3140495867768589</v>
      </c>
      <c r="AA39" s="16">
        <f t="shared" si="124"/>
        <v>2.3140495867768589</v>
      </c>
      <c r="AB39" s="16">
        <f t="shared" si="124"/>
        <v>2.3140495867768589</v>
      </c>
      <c r="AC39" s="16">
        <f t="shared" si="124"/>
        <v>2.3140495867768589</v>
      </c>
      <c r="AD39" s="16">
        <f t="shared" si="124"/>
        <v>2.3140495867768589</v>
      </c>
      <c r="AE39" s="16">
        <f t="shared" si="124"/>
        <v>2.6942148760330573</v>
      </c>
      <c r="AF39" s="16">
        <f t="shared" si="124"/>
        <v>2.6942148760330573</v>
      </c>
      <c r="AG39" s="16">
        <f t="shared" si="124"/>
        <v>2.6942148760330573</v>
      </c>
      <c r="AH39" s="16">
        <f t="shared" si="124"/>
        <v>2.6942148760330573</v>
      </c>
      <c r="AI39" s="16">
        <f t="shared" si="124"/>
        <v>2.6942148760330573</v>
      </c>
      <c r="AJ39" s="10" t="s">
        <v>155</v>
      </c>
    </row>
    <row r="40" spans="1:36" x14ac:dyDescent="0.25">
      <c r="A40" s="95"/>
      <c r="B40" s="11" t="s">
        <v>136</v>
      </c>
      <c r="C40" s="11" t="s">
        <v>148</v>
      </c>
      <c r="D40" s="11" t="s">
        <v>18</v>
      </c>
      <c r="E40" s="11">
        <v>0.05</v>
      </c>
      <c r="F40" s="11">
        <v>0.05</v>
      </c>
      <c r="G40" s="11">
        <v>0.05</v>
      </c>
      <c r="H40" s="11">
        <v>0.05</v>
      </c>
      <c r="I40" s="11">
        <v>0.05</v>
      </c>
      <c r="J40" s="11">
        <v>0.05</v>
      </c>
      <c r="K40" s="11">
        <v>0.05</v>
      </c>
      <c r="L40" s="11">
        <v>0.05</v>
      </c>
      <c r="M40" s="11">
        <v>0.05</v>
      </c>
      <c r="N40" s="11">
        <v>0.05</v>
      </c>
      <c r="O40" s="11">
        <v>0.05</v>
      </c>
      <c r="P40" s="11">
        <v>0.05</v>
      </c>
      <c r="Q40" s="11">
        <v>0.05</v>
      </c>
      <c r="R40" s="11">
        <v>0.05</v>
      </c>
      <c r="S40" s="11">
        <v>0.05</v>
      </c>
      <c r="T40" s="11">
        <v>0.05</v>
      </c>
      <c r="U40" s="11">
        <v>0.05</v>
      </c>
      <c r="V40" s="11">
        <v>0.05</v>
      </c>
      <c r="W40" s="11">
        <v>0.05</v>
      </c>
      <c r="X40" s="11">
        <v>0.05</v>
      </c>
      <c r="Y40" s="11">
        <v>0.05</v>
      </c>
      <c r="Z40" s="11">
        <v>0.05</v>
      </c>
      <c r="AA40" s="11">
        <v>0.05</v>
      </c>
      <c r="AB40" s="11">
        <v>0.05</v>
      </c>
      <c r="AC40" s="11">
        <v>0.05</v>
      </c>
      <c r="AD40" s="11">
        <v>0.05</v>
      </c>
      <c r="AE40" s="11">
        <v>0.05</v>
      </c>
      <c r="AF40" s="11">
        <v>0.05</v>
      </c>
      <c r="AG40" s="11">
        <v>0.05</v>
      </c>
      <c r="AH40" s="11">
        <v>0.05</v>
      </c>
      <c r="AI40" s="11">
        <v>0.05</v>
      </c>
      <c r="AJ40" s="10" t="s">
        <v>251</v>
      </c>
    </row>
    <row r="41" spans="1:36" x14ac:dyDescent="0.25">
      <c r="A41" s="95"/>
      <c r="B41" s="12" t="s">
        <v>236</v>
      </c>
      <c r="C41" s="11" t="s">
        <v>235</v>
      </c>
      <c r="D41" s="11"/>
      <c r="E41" s="16">
        <v>0.8</v>
      </c>
      <c r="F41" s="16">
        <v>0.8</v>
      </c>
      <c r="G41" s="16">
        <v>0.8</v>
      </c>
      <c r="H41" s="16">
        <v>0.8</v>
      </c>
      <c r="I41" s="16">
        <v>0.8</v>
      </c>
      <c r="J41" s="16">
        <v>0.8</v>
      </c>
      <c r="K41" s="16">
        <v>0.8</v>
      </c>
      <c r="L41" s="16">
        <v>0.8</v>
      </c>
      <c r="M41" s="16">
        <v>0.8</v>
      </c>
      <c r="N41" s="16">
        <v>0.8</v>
      </c>
      <c r="O41" s="16">
        <v>0.8</v>
      </c>
      <c r="P41" s="16">
        <v>0.8</v>
      </c>
      <c r="Q41" s="16">
        <v>0.8</v>
      </c>
      <c r="R41" s="16">
        <v>0.8</v>
      </c>
      <c r="S41" s="16">
        <v>0.8</v>
      </c>
      <c r="T41" s="16">
        <v>0.8</v>
      </c>
      <c r="U41" s="16">
        <v>0.8</v>
      </c>
      <c r="V41" s="16">
        <v>0.8</v>
      </c>
      <c r="W41" s="16">
        <v>0.8</v>
      </c>
      <c r="X41" s="16">
        <v>0.8</v>
      </c>
      <c r="Y41" s="16">
        <v>0.8</v>
      </c>
      <c r="Z41" s="16">
        <v>0.8</v>
      </c>
      <c r="AA41" s="16">
        <v>0.8</v>
      </c>
      <c r="AB41" s="16">
        <v>0.8</v>
      </c>
      <c r="AC41" s="16">
        <v>0.8</v>
      </c>
      <c r="AD41" s="16">
        <v>0.8</v>
      </c>
      <c r="AE41" s="16">
        <v>0.8</v>
      </c>
      <c r="AF41" s="16">
        <v>0.8</v>
      </c>
      <c r="AG41" s="16">
        <v>0.8</v>
      </c>
      <c r="AH41" s="16">
        <v>0.8</v>
      </c>
      <c r="AI41" s="16">
        <v>0.8</v>
      </c>
      <c r="AJ41" s="10"/>
    </row>
    <row r="42" spans="1:36" x14ac:dyDescent="0.25">
      <c r="A42" s="95"/>
      <c r="B42" s="11" t="s">
        <v>239</v>
      </c>
      <c r="C42" s="11" t="s">
        <v>172</v>
      </c>
      <c r="D42" s="11" t="s">
        <v>18</v>
      </c>
      <c r="E42" s="17">
        <f t="shared" ref="E42:AA42" si="125">1/(PI()*E41*E35)</f>
        <v>3.5975348800157174E-2</v>
      </c>
      <c r="F42" s="17">
        <f t="shared" si="125"/>
        <v>3.5975348800157174E-2</v>
      </c>
      <c r="G42" s="17">
        <f t="shared" si="125"/>
        <v>3.5975348800157174E-2</v>
      </c>
      <c r="H42" s="17">
        <f t="shared" si="125"/>
        <v>3.5975348800157174E-2</v>
      </c>
      <c r="I42" s="17">
        <f t="shared" si="125"/>
        <v>3.5975348800157174E-2</v>
      </c>
      <c r="J42" s="17">
        <f t="shared" si="125"/>
        <v>3.5975348800157174E-2</v>
      </c>
      <c r="K42" s="17">
        <f t="shared" si="125"/>
        <v>3.5975348800157174E-2</v>
      </c>
      <c r="L42" s="17">
        <f t="shared" si="125"/>
        <v>3.5975348800157174E-2</v>
      </c>
      <c r="M42" s="17">
        <f t="shared" si="125"/>
        <v>3.5975348800157174E-2</v>
      </c>
      <c r="N42" s="17">
        <f t="shared" si="125"/>
        <v>3.5975348800157174E-2</v>
      </c>
      <c r="O42" s="17">
        <f t="shared" si="125"/>
        <v>3.5975348800157174E-2</v>
      </c>
      <c r="P42" s="17">
        <f t="shared" si="125"/>
        <v>3.5975348800157174E-2</v>
      </c>
      <c r="Q42" s="17">
        <f t="shared" si="125"/>
        <v>3.5975348800157174E-2</v>
      </c>
      <c r="R42" s="17">
        <f t="shared" si="125"/>
        <v>3.5975348800157174E-2</v>
      </c>
      <c r="S42" s="17">
        <f t="shared" si="125"/>
        <v>3.5975348800157174E-2</v>
      </c>
      <c r="T42" s="17">
        <f t="shared" si="125"/>
        <v>3.5975348800157174E-2</v>
      </c>
      <c r="U42" s="17">
        <f t="shared" ref="U42" si="126">1/(PI()*U41*U35)</f>
        <v>3.5975348800157174E-2</v>
      </c>
      <c r="V42" s="17">
        <f t="shared" ref="V42" si="127">1/(PI()*V41*V35)</f>
        <v>3.5975348800157174E-2</v>
      </c>
      <c r="W42" s="17">
        <f t="shared" ref="W42" si="128">1/(PI()*W41*W35)</f>
        <v>3.5975348800157174E-2</v>
      </c>
      <c r="X42" s="17">
        <f t="shared" ref="X42" si="129">1/(PI()*X41*X35)</f>
        <v>3.5975348800157174E-2</v>
      </c>
      <c r="Y42" s="17">
        <f t="shared" ref="Y42" si="130">1/(PI()*Y41*Y35)</f>
        <v>3.5975348800157174E-2</v>
      </c>
      <c r="Z42" s="17">
        <f t="shared" si="125"/>
        <v>3.5975348800157174E-2</v>
      </c>
      <c r="AA42" s="17">
        <f t="shared" si="125"/>
        <v>3.5975348800157174E-2</v>
      </c>
      <c r="AB42" s="17">
        <f t="shared" ref="AB42" si="131">1/(PI()*AB41*AB35)</f>
        <v>3.5975348800157174E-2</v>
      </c>
      <c r="AC42" s="17">
        <f t="shared" ref="AC42" si="132">1/(PI()*AC41*AC35)</f>
        <v>3.5975348800157174E-2</v>
      </c>
      <c r="AD42" s="17">
        <f t="shared" ref="AD42" si="133">1/(PI()*AD41*AD35)</f>
        <v>3.5975348800157174E-2</v>
      </c>
      <c r="AE42" s="17">
        <f t="shared" ref="AE42" si="134">1/(PI()*AE41*AE35)</f>
        <v>3.5975348800157174E-2</v>
      </c>
      <c r="AF42" s="17">
        <f t="shared" ref="AF42" si="135">1/(PI()*AF41*AF35)</f>
        <v>3.5975348800157174E-2</v>
      </c>
      <c r="AG42" s="17">
        <f t="shared" ref="AG42" si="136">1/(PI()*AG41*AG35)</f>
        <v>3.5975348800157174E-2</v>
      </c>
      <c r="AH42" s="17">
        <f t="shared" ref="AH42" si="137">1/(PI()*AH41*AH35)</f>
        <v>3.5975348800157174E-2</v>
      </c>
      <c r="AI42" s="17">
        <f t="shared" ref="AI42" si="138">1/(PI()*AI41*AI35)</f>
        <v>3.5975348800157174E-2</v>
      </c>
      <c r="AJ42" s="10" t="s">
        <v>139</v>
      </c>
    </row>
    <row r="43" spans="1:36" x14ac:dyDescent="0.25">
      <c r="A43" s="95"/>
      <c r="B43" s="11" t="s">
        <v>307</v>
      </c>
      <c r="C43" s="11" t="s">
        <v>307</v>
      </c>
      <c r="D43" s="11" t="s">
        <v>18</v>
      </c>
      <c r="E43" s="17">
        <f t="shared" ref="E43:AA43" si="139">E40+E42*E39^2</f>
        <v>0.24264171476895846</v>
      </c>
      <c r="F43" s="17">
        <f t="shared" si="139"/>
        <v>0.24264171476895846</v>
      </c>
      <c r="G43" s="17">
        <f t="shared" si="139"/>
        <v>0.24264171476895846</v>
      </c>
      <c r="H43" s="17">
        <f t="shared" si="139"/>
        <v>0.24264171476895846</v>
      </c>
      <c r="I43" s="17">
        <f t="shared" si="139"/>
        <v>0.24264171476895846</v>
      </c>
      <c r="J43" s="17">
        <f t="shared" si="139"/>
        <v>0.29319335788906253</v>
      </c>
      <c r="K43" s="17">
        <f>K40+K42*K39^2</f>
        <v>0.29319335788906253</v>
      </c>
      <c r="L43" s="17">
        <f t="shared" si="139"/>
        <v>0.29319335788906253</v>
      </c>
      <c r="M43" s="17">
        <f t="shared" si="139"/>
        <v>0.29319335788906253</v>
      </c>
      <c r="N43" s="17">
        <f t="shared" si="139"/>
        <v>0.29319335788906253</v>
      </c>
      <c r="O43" s="17">
        <f t="shared" si="139"/>
        <v>0.24264171476895846</v>
      </c>
      <c r="P43" s="17">
        <f t="shared" si="139"/>
        <v>0.24264171476895846</v>
      </c>
      <c r="Q43" s="17">
        <f t="shared" si="139"/>
        <v>0.24264171476895846</v>
      </c>
      <c r="R43" s="17">
        <f t="shared" si="139"/>
        <v>0.24264171476895846</v>
      </c>
      <c r="S43" s="17">
        <f t="shared" si="139"/>
        <v>0.24264171476895846</v>
      </c>
      <c r="T43" s="17">
        <f t="shared" si="139"/>
        <v>0.24264171476895846</v>
      </c>
      <c r="U43" s="17">
        <f t="shared" ref="U43" si="140">U40+U42*U39^2</f>
        <v>0.31113763876002337</v>
      </c>
      <c r="V43" s="17">
        <f t="shared" ref="V43" si="141">V40+V42*V39^2</f>
        <v>0.31113763876002337</v>
      </c>
      <c r="W43" s="17">
        <f t="shared" ref="W43" si="142">W40+W42*W39^2</f>
        <v>0.31113763876002337</v>
      </c>
      <c r="X43" s="17">
        <f t="shared" ref="X43" si="143">X40+X42*X39^2</f>
        <v>0.31113763876002337</v>
      </c>
      <c r="Y43" s="17">
        <f t="shared" ref="Y43" si="144">Y40+Y42*Y39^2</f>
        <v>0.31113763876002337</v>
      </c>
      <c r="Z43" s="17">
        <f t="shared" si="139"/>
        <v>0.24264171476895846</v>
      </c>
      <c r="AA43" s="17">
        <f t="shared" si="139"/>
        <v>0.24264171476895846</v>
      </c>
      <c r="AB43" s="17">
        <f t="shared" ref="AB43" si="145">AB40+AB42*AB39^2</f>
        <v>0.24264171476895846</v>
      </c>
      <c r="AC43" s="17">
        <f t="shared" ref="AC43" si="146">AC40+AC42*AC39^2</f>
        <v>0.24264171476895846</v>
      </c>
      <c r="AD43" s="17">
        <f t="shared" ref="AD43" si="147">AD40+AD42*AD39^2</f>
        <v>0.24264171476895846</v>
      </c>
      <c r="AE43" s="17">
        <f t="shared" ref="AE43" si="148">AE40+AE42*AE39^2</f>
        <v>0.31113763876002337</v>
      </c>
      <c r="AF43" s="17">
        <f t="shared" ref="AF43" si="149">AF40+AF42*AF39^2</f>
        <v>0.31113763876002337</v>
      </c>
      <c r="AG43" s="17">
        <f t="shared" ref="AG43" si="150">AG40+AG42*AG39^2</f>
        <v>0.31113763876002337</v>
      </c>
      <c r="AH43" s="17">
        <f t="shared" ref="AH43" si="151">AH40+AH42*AH39^2</f>
        <v>0.31113763876002337</v>
      </c>
      <c r="AI43" s="17">
        <f t="shared" ref="AI43" si="152">AI40+AI42*AI39^2</f>
        <v>0.31113763876002337</v>
      </c>
      <c r="AJ43" s="10" t="s">
        <v>308</v>
      </c>
    </row>
    <row r="44" spans="1:36" x14ac:dyDescent="0.25">
      <c r="A44" s="95"/>
      <c r="B44" s="73" t="s">
        <v>385</v>
      </c>
      <c r="C44" s="11" t="s">
        <v>383</v>
      </c>
      <c r="D44" s="11" t="s">
        <v>384</v>
      </c>
      <c r="E44" s="15">
        <f t="shared" ref="E44:Z44" si="153">MIN(467,504*(E10/101325)*SQRT(E8/288.15))</f>
        <v>467</v>
      </c>
      <c r="F44" s="15">
        <f t="shared" si="153"/>
        <v>467</v>
      </c>
      <c r="G44" s="15">
        <f t="shared" si="153"/>
        <v>467</v>
      </c>
      <c r="H44" s="15">
        <f t="shared" si="153"/>
        <v>467</v>
      </c>
      <c r="I44" s="15">
        <f t="shared" si="153"/>
        <v>467</v>
      </c>
      <c r="J44" s="15">
        <f t="shared" si="153"/>
        <v>467</v>
      </c>
      <c r="K44" s="15">
        <f t="shared" si="153"/>
        <v>467</v>
      </c>
      <c r="L44" s="15">
        <f t="shared" si="153"/>
        <v>467</v>
      </c>
      <c r="M44" s="15">
        <f t="shared" si="153"/>
        <v>467</v>
      </c>
      <c r="N44" s="15">
        <f t="shared" si="153"/>
        <v>467</v>
      </c>
      <c r="O44" s="15">
        <f t="shared" si="153"/>
        <v>467</v>
      </c>
      <c r="P44" s="15">
        <f t="shared" si="153"/>
        <v>467</v>
      </c>
      <c r="Q44" s="15">
        <f t="shared" si="153"/>
        <v>467</v>
      </c>
      <c r="R44" s="15">
        <f t="shared" si="153"/>
        <v>467</v>
      </c>
      <c r="S44" s="15">
        <f t="shared" si="153"/>
        <v>467</v>
      </c>
      <c r="T44" s="15">
        <f t="shared" si="153"/>
        <v>467</v>
      </c>
      <c r="U44" s="15">
        <f t="shared" si="153"/>
        <v>467</v>
      </c>
      <c r="V44" s="15">
        <f t="shared" si="153"/>
        <v>467</v>
      </c>
      <c r="W44" s="15">
        <f t="shared" si="153"/>
        <v>467</v>
      </c>
      <c r="X44" s="15">
        <f t="shared" si="153"/>
        <v>467</v>
      </c>
      <c r="Y44" s="15">
        <f t="shared" si="153"/>
        <v>467</v>
      </c>
      <c r="Z44" s="15">
        <f t="shared" si="153"/>
        <v>467</v>
      </c>
      <c r="AA44" s="15">
        <f t="shared" ref="AA44:AI44" si="154">MIN(467,504*(AA10/101325)*SQRT(AA8/288.15))</f>
        <v>467</v>
      </c>
      <c r="AB44" s="15">
        <f t="shared" si="154"/>
        <v>467</v>
      </c>
      <c r="AC44" s="15">
        <f t="shared" si="154"/>
        <v>467</v>
      </c>
      <c r="AD44" s="15">
        <f t="shared" si="154"/>
        <v>467</v>
      </c>
      <c r="AE44" s="15">
        <f t="shared" si="154"/>
        <v>467</v>
      </c>
      <c r="AF44" s="15">
        <f t="shared" si="154"/>
        <v>467</v>
      </c>
      <c r="AG44" s="15">
        <f t="shared" si="154"/>
        <v>467</v>
      </c>
      <c r="AH44" s="15">
        <f t="shared" si="154"/>
        <v>467</v>
      </c>
      <c r="AI44" s="15">
        <f t="shared" si="154"/>
        <v>467</v>
      </c>
    </row>
    <row r="45" spans="1:36" x14ac:dyDescent="0.25">
      <c r="A45" s="95"/>
      <c r="B45" s="73" t="s">
        <v>386</v>
      </c>
      <c r="C45" s="11" t="s">
        <v>388</v>
      </c>
      <c r="D45" s="11"/>
      <c r="E45" s="15">
        <f t="shared" ref="E45:Z45" si="155">0.94*(1978.9+9.25*E25-0.424444*E25^2+0.00303704*E25^3)</f>
        <v>1626.7392071696609</v>
      </c>
      <c r="F45" s="15">
        <f t="shared" si="155"/>
        <v>1602.4969732854997</v>
      </c>
      <c r="G45" s="15">
        <f t="shared" si="155"/>
        <v>1580.2712124097698</v>
      </c>
      <c r="H45" s="15">
        <f t="shared" si="155"/>
        <v>1560.0558544931707</v>
      </c>
      <c r="I45" s="15">
        <f t="shared" si="155"/>
        <v>1541.8368286116952</v>
      </c>
      <c r="J45" s="15">
        <f t="shared" si="155"/>
        <v>1655.7210697816436</v>
      </c>
      <c r="K45" s="15">
        <f t="shared" si="155"/>
        <v>1632.0805778980325</v>
      </c>
      <c r="L45" s="15">
        <f t="shared" si="155"/>
        <v>1610.0296360990103</v>
      </c>
      <c r="M45" s="15">
        <f t="shared" si="155"/>
        <v>1589.5758597599631</v>
      </c>
      <c r="N45" s="15">
        <f t="shared" si="155"/>
        <v>1570.7177411331256</v>
      </c>
      <c r="O45" s="15">
        <f t="shared" si="155"/>
        <v>1541.8368286116952</v>
      </c>
      <c r="P45" s="15">
        <f t="shared" si="155"/>
        <v>1626.7392071696609</v>
      </c>
      <c r="Q45" s="15">
        <f t="shared" si="155"/>
        <v>1602.4969732854997</v>
      </c>
      <c r="R45" s="15">
        <f t="shared" si="155"/>
        <v>1580.2712124097698</v>
      </c>
      <c r="S45" s="15">
        <f t="shared" si="155"/>
        <v>1560.0558544931707</v>
      </c>
      <c r="T45" s="15">
        <f t="shared" si="155"/>
        <v>1541.8368286116952</v>
      </c>
      <c r="U45" s="15">
        <f t="shared" si="155"/>
        <v>1664.3596823593059</v>
      </c>
      <c r="V45" s="15">
        <f t="shared" si="155"/>
        <v>1640.9868737904219</v>
      </c>
      <c r="W45" s="15">
        <f t="shared" si="155"/>
        <v>1619.0886158721535</v>
      </c>
      <c r="X45" s="15">
        <f t="shared" si="155"/>
        <v>1598.6760986505203</v>
      </c>
      <c r="Y45" s="15">
        <f t="shared" si="155"/>
        <v>1579.7511121287241</v>
      </c>
      <c r="Z45" s="15">
        <f t="shared" si="155"/>
        <v>1626.7392071696609</v>
      </c>
      <c r="AA45" s="15">
        <f t="shared" ref="AA45:AI45" si="156">0.94*(1978.9+9.25*AA25-0.424444*AA25^2+0.00303704*AA25^3)</f>
        <v>1602.4969732854997</v>
      </c>
      <c r="AB45" s="15">
        <f t="shared" si="156"/>
        <v>1580.2712124097698</v>
      </c>
      <c r="AC45" s="15">
        <f t="shared" si="156"/>
        <v>1560.0558544931707</v>
      </c>
      <c r="AD45" s="15">
        <f t="shared" si="156"/>
        <v>1541.8368286116952</v>
      </c>
      <c r="AE45" s="15">
        <f t="shared" si="156"/>
        <v>1664.3596823593059</v>
      </c>
      <c r="AF45" s="15">
        <f t="shared" si="156"/>
        <v>1640.9868737904219</v>
      </c>
      <c r="AG45" s="15">
        <f t="shared" si="156"/>
        <v>1619.0886158721535</v>
      </c>
      <c r="AH45" s="15">
        <f t="shared" si="156"/>
        <v>1598.6760986505203</v>
      </c>
      <c r="AI45" s="15">
        <f t="shared" si="156"/>
        <v>1579.7511121287241</v>
      </c>
    </row>
    <row r="46" spans="1:36" x14ac:dyDescent="0.25">
      <c r="A46" s="95"/>
      <c r="B46" s="73" t="s">
        <v>387</v>
      </c>
      <c r="C46" s="11" t="s">
        <v>389</v>
      </c>
      <c r="D46" s="11"/>
      <c r="E46" s="15">
        <f t="shared" ref="E46:Z46" si="157">E45*(E44/504)</f>
        <v>1507.3158923576025</v>
      </c>
      <c r="F46" s="15">
        <f t="shared" si="157"/>
        <v>1484.8533462784294</v>
      </c>
      <c r="G46" s="15">
        <f t="shared" si="157"/>
        <v>1464.2592384828622</v>
      </c>
      <c r="H46" s="15">
        <f t="shared" si="157"/>
        <v>1445.5279445402991</v>
      </c>
      <c r="I46" s="15">
        <f t="shared" si="157"/>
        <v>1428.6464265112336</v>
      </c>
      <c r="J46" s="15">
        <f t="shared" si="157"/>
        <v>1534.1701182302133</v>
      </c>
      <c r="K46" s="15">
        <f t="shared" si="157"/>
        <v>1512.2651386475818</v>
      </c>
      <c r="L46" s="15">
        <f t="shared" si="157"/>
        <v>1491.8330159885672</v>
      </c>
      <c r="M46" s="15">
        <f t="shared" si="157"/>
        <v>1472.8808065632993</v>
      </c>
      <c r="N46" s="15">
        <f t="shared" si="157"/>
        <v>1455.4071133118446</v>
      </c>
      <c r="O46" s="15">
        <f t="shared" si="157"/>
        <v>1428.6464265112336</v>
      </c>
      <c r="P46" s="15">
        <f t="shared" si="157"/>
        <v>1507.3158923576025</v>
      </c>
      <c r="Q46" s="15">
        <f t="shared" si="157"/>
        <v>1484.8533462784294</v>
      </c>
      <c r="R46" s="15">
        <f t="shared" si="157"/>
        <v>1464.2592384828622</v>
      </c>
      <c r="S46" s="15">
        <f t="shared" si="157"/>
        <v>1445.5279445402991</v>
      </c>
      <c r="T46" s="15">
        <f t="shared" si="157"/>
        <v>1428.6464265112336</v>
      </c>
      <c r="U46" s="15">
        <f t="shared" si="157"/>
        <v>1542.1745469480077</v>
      </c>
      <c r="V46" s="15">
        <f t="shared" si="157"/>
        <v>1520.5175993256489</v>
      </c>
      <c r="W46" s="15">
        <f t="shared" si="157"/>
        <v>1500.2269516116978</v>
      </c>
      <c r="X46" s="15">
        <f t="shared" si="157"/>
        <v>1481.3129723607005</v>
      </c>
      <c r="Y46" s="15">
        <f t="shared" si="157"/>
        <v>1463.7773201668933</v>
      </c>
      <c r="Z46" s="15">
        <f t="shared" si="157"/>
        <v>1507.3158923576025</v>
      </c>
      <c r="AA46" s="15">
        <f t="shared" ref="AA46:AI46" si="158">AA45*(AA44/504)</f>
        <v>1484.8533462784294</v>
      </c>
      <c r="AB46" s="15">
        <f t="shared" si="158"/>
        <v>1464.2592384828622</v>
      </c>
      <c r="AC46" s="15">
        <f t="shared" si="158"/>
        <v>1445.5279445402991</v>
      </c>
      <c r="AD46" s="15">
        <f t="shared" si="158"/>
        <v>1428.6464265112336</v>
      </c>
      <c r="AE46" s="15">
        <f t="shared" si="158"/>
        <v>1542.1745469480077</v>
      </c>
      <c r="AF46" s="15">
        <f t="shared" si="158"/>
        <v>1520.5175993256489</v>
      </c>
      <c r="AG46" s="15">
        <f t="shared" si="158"/>
        <v>1500.2269516116978</v>
      </c>
      <c r="AH46" s="15">
        <f t="shared" si="158"/>
        <v>1481.3129723607005</v>
      </c>
      <c r="AI46" s="15">
        <f t="shared" si="158"/>
        <v>1463.7773201668933</v>
      </c>
    </row>
    <row r="47" spans="1:36" x14ac:dyDescent="0.25">
      <c r="A47" s="95"/>
      <c r="B47" s="87" t="s">
        <v>390</v>
      </c>
      <c r="C47" s="11" t="s">
        <v>161</v>
      </c>
      <c r="D47" s="11" t="s">
        <v>133</v>
      </c>
      <c r="E47" s="86">
        <f t="shared" ref="E47:AI47" si="159">E46*0.94</f>
        <v>1416.8769388161463</v>
      </c>
      <c r="F47" s="86">
        <f t="shared" si="159"/>
        <v>1395.7621455017236</v>
      </c>
      <c r="G47" s="86">
        <f t="shared" si="159"/>
        <v>1376.4036841738905</v>
      </c>
      <c r="H47" s="86">
        <f t="shared" si="159"/>
        <v>1358.7962678678812</v>
      </c>
      <c r="I47" s="86">
        <f t="shared" si="159"/>
        <v>1342.9276409205595</v>
      </c>
      <c r="J47" s="86">
        <f t="shared" si="159"/>
        <v>1442.1199111364006</v>
      </c>
      <c r="K47" s="86">
        <f t="shared" si="159"/>
        <v>1421.5292303287267</v>
      </c>
      <c r="L47" s="86">
        <f t="shared" si="159"/>
        <v>1402.3230350292531</v>
      </c>
      <c r="M47" s="86">
        <f t="shared" si="159"/>
        <v>1384.5079581695013</v>
      </c>
      <c r="N47" s="86">
        <f t="shared" si="159"/>
        <v>1368.0826865131339</v>
      </c>
      <c r="O47" s="86">
        <f t="shared" si="159"/>
        <v>1342.9276409205595</v>
      </c>
      <c r="P47" s="86">
        <f t="shared" si="159"/>
        <v>1416.8769388161463</v>
      </c>
      <c r="Q47" s="86">
        <f t="shared" si="159"/>
        <v>1395.7621455017236</v>
      </c>
      <c r="R47" s="86">
        <f t="shared" si="159"/>
        <v>1376.4036841738905</v>
      </c>
      <c r="S47" s="86">
        <f t="shared" si="159"/>
        <v>1358.7962678678812</v>
      </c>
      <c r="T47" s="86">
        <f t="shared" si="159"/>
        <v>1342.9276409205595</v>
      </c>
      <c r="U47" s="86">
        <f t="shared" si="159"/>
        <v>1449.6440741311271</v>
      </c>
      <c r="V47" s="86">
        <f t="shared" si="159"/>
        <v>1429.28654336611</v>
      </c>
      <c r="W47" s="86">
        <f t="shared" si="159"/>
        <v>1410.2133345149959</v>
      </c>
      <c r="X47" s="86">
        <f t="shared" si="159"/>
        <v>1392.4341940190584</v>
      </c>
      <c r="Y47" s="86">
        <f t="shared" si="159"/>
        <v>1375.9506809568798</v>
      </c>
      <c r="Z47" s="86">
        <f t="shared" si="159"/>
        <v>1416.8769388161463</v>
      </c>
      <c r="AA47" s="86">
        <f t="shared" si="159"/>
        <v>1395.7621455017236</v>
      </c>
      <c r="AB47" s="86">
        <f t="shared" si="159"/>
        <v>1376.4036841738905</v>
      </c>
      <c r="AC47" s="86">
        <f t="shared" si="159"/>
        <v>1358.7962678678812</v>
      </c>
      <c r="AD47" s="86">
        <f t="shared" si="159"/>
        <v>1342.9276409205595</v>
      </c>
      <c r="AE47" s="86">
        <f t="shared" si="159"/>
        <v>1449.6440741311271</v>
      </c>
      <c r="AF47" s="86">
        <f t="shared" si="159"/>
        <v>1429.28654336611</v>
      </c>
      <c r="AG47" s="86">
        <f t="shared" si="159"/>
        <v>1410.2133345149959</v>
      </c>
      <c r="AH47" s="86">
        <f t="shared" si="159"/>
        <v>1392.4341940190584</v>
      </c>
      <c r="AI47" s="86">
        <f t="shared" si="159"/>
        <v>1375.9506809568798</v>
      </c>
      <c r="AJ47" s="10"/>
    </row>
    <row r="48" spans="1:36" x14ac:dyDescent="0.25">
      <c r="A48" s="95"/>
      <c r="B48" s="89"/>
      <c r="C48" s="11" t="s">
        <v>162</v>
      </c>
      <c r="D48" s="11" t="s">
        <v>109</v>
      </c>
      <c r="E48" s="15">
        <f t="shared" ref="E48:Z48" si="160">E47*CONVERT(1,"lbf","N")</f>
        <v>6302.5826254061121</v>
      </c>
      <c r="F48" s="15">
        <f t="shared" si="160"/>
        <v>6208.6593453831383</v>
      </c>
      <c r="G48" s="15">
        <f t="shared" si="160"/>
        <v>6122.5486192664866</v>
      </c>
      <c r="H48" s="15">
        <f t="shared" si="160"/>
        <v>6044.226929465206</v>
      </c>
      <c r="I48" s="15">
        <f t="shared" si="160"/>
        <v>5973.6397600736245</v>
      </c>
      <c r="J48" s="15">
        <f t="shared" si="160"/>
        <v>6414.8689605144891</v>
      </c>
      <c r="K48" s="15">
        <f t="shared" si="160"/>
        <v>6323.2770490728653</v>
      </c>
      <c r="L48" s="15">
        <f t="shared" si="160"/>
        <v>6237.8436359948319</v>
      </c>
      <c r="M48" s="15">
        <f t="shared" si="160"/>
        <v>6158.5982260297569</v>
      </c>
      <c r="N48" s="15">
        <f t="shared" si="160"/>
        <v>6085.5349776113771</v>
      </c>
      <c r="O48" s="15">
        <f t="shared" si="160"/>
        <v>5973.6397600736245</v>
      </c>
      <c r="P48" s="15">
        <f t="shared" si="160"/>
        <v>6302.5826254061121</v>
      </c>
      <c r="Q48" s="15">
        <f t="shared" si="160"/>
        <v>6208.6593453831383</v>
      </c>
      <c r="R48" s="15">
        <f t="shared" si="160"/>
        <v>6122.5486192664866</v>
      </c>
      <c r="S48" s="15">
        <f t="shared" si="160"/>
        <v>6044.226929465206</v>
      </c>
      <c r="T48" s="15">
        <f t="shared" si="160"/>
        <v>5973.6397600736245</v>
      </c>
      <c r="U48" s="15">
        <f t="shared" si="160"/>
        <v>6448.3381049843747</v>
      </c>
      <c r="V48" s="15">
        <f t="shared" si="160"/>
        <v>6357.7832966020951</v>
      </c>
      <c r="W48" s="15">
        <f t="shared" si="160"/>
        <v>6272.9414367181917</v>
      </c>
      <c r="X48" s="15">
        <f t="shared" si="160"/>
        <v>6193.8558796634088</v>
      </c>
      <c r="Y48" s="15">
        <f t="shared" si="160"/>
        <v>6120.533560564797</v>
      </c>
      <c r="Z48" s="15">
        <f t="shared" si="160"/>
        <v>6302.5826254061121</v>
      </c>
      <c r="AA48" s="15">
        <f t="shared" ref="AA48:AB48" si="161">AA47*CONVERT(1,"lbf","N")</f>
        <v>6208.6593453831383</v>
      </c>
      <c r="AB48" s="15">
        <f t="shared" si="161"/>
        <v>6122.5486192664866</v>
      </c>
      <c r="AC48" s="15">
        <f t="shared" ref="AC48:AF48" si="162">AC47*CONVERT(1,"lbf","N")</f>
        <v>6044.226929465206</v>
      </c>
      <c r="AD48" s="15">
        <f t="shared" si="162"/>
        <v>5973.6397600736245</v>
      </c>
      <c r="AE48" s="15">
        <f t="shared" si="162"/>
        <v>6448.3381049843747</v>
      </c>
      <c r="AF48" s="15">
        <f t="shared" si="162"/>
        <v>6357.7832966020951</v>
      </c>
      <c r="AG48" s="15">
        <f t="shared" ref="AG48:AI48" si="163">AG47*CONVERT(1,"lbf","N")</f>
        <v>6272.9414367181917</v>
      </c>
      <c r="AH48" s="15">
        <f t="shared" si="163"/>
        <v>6193.8558796634088</v>
      </c>
      <c r="AI48" s="15">
        <f t="shared" si="163"/>
        <v>6120.533560564797</v>
      </c>
      <c r="AJ48" s="10"/>
    </row>
    <row r="49" spans="1:36" x14ac:dyDescent="0.25">
      <c r="A49" s="95"/>
      <c r="B49" s="11" t="s">
        <v>159</v>
      </c>
      <c r="C49" s="11" t="s">
        <v>160</v>
      </c>
      <c r="D49" s="11" t="s">
        <v>109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0"/>
    </row>
    <row r="50" spans="1:36" x14ac:dyDescent="0.25">
      <c r="A50" s="88"/>
      <c r="B50" s="11" t="s">
        <v>274</v>
      </c>
      <c r="C50" s="11" t="s">
        <v>276</v>
      </c>
      <c r="D50" s="11" t="s">
        <v>109</v>
      </c>
      <c r="E50" s="15">
        <f t="shared" ref="E50:AI50" si="164">0.5*E11*E26^2*(E40+E42*E39^2)</f>
        <v>109.85239638037649</v>
      </c>
      <c r="F50" s="15">
        <f t="shared" si="164"/>
        <v>120.83763601841413</v>
      </c>
      <c r="G50" s="15">
        <f t="shared" si="164"/>
        <v>131.82287565645174</v>
      </c>
      <c r="H50" s="15">
        <f t="shared" si="164"/>
        <v>142.8081152944894</v>
      </c>
      <c r="I50" s="15">
        <f t="shared" si="164"/>
        <v>153.79335493252705</v>
      </c>
      <c r="J50" s="15">
        <f t="shared" si="164"/>
        <v>118.14014763890357</v>
      </c>
      <c r="K50" s="15">
        <f>0.5*K11*K26^2*(K40+K42*K39^2)</f>
        <v>129.95416240279391</v>
      </c>
      <c r="L50" s="15">
        <f t="shared" si="164"/>
        <v>141.7681771666843</v>
      </c>
      <c r="M50" s="15">
        <f t="shared" si="164"/>
        <v>153.58219193057462</v>
      </c>
      <c r="N50" s="15">
        <f t="shared" si="164"/>
        <v>165.39620669446498</v>
      </c>
      <c r="O50" s="15">
        <f t="shared" si="164"/>
        <v>153.79335493252705</v>
      </c>
      <c r="P50" s="15">
        <f t="shared" si="164"/>
        <v>109.85239638037649</v>
      </c>
      <c r="Q50" s="15">
        <f t="shared" si="164"/>
        <v>120.83763601841413</v>
      </c>
      <c r="R50" s="15">
        <f t="shared" si="164"/>
        <v>131.82287565645174</v>
      </c>
      <c r="S50" s="15">
        <f t="shared" si="164"/>
        <v>142.8081152944894</v>
      </c>
      <c r="T50" s="15">
        <f t="shared" si="164"/>
        <v>153.79335493252705</v>
      </c>
      <c r="U50" s="15">
        <f t="shared" si="164"/>
        <v>120.98653852720481</v>
      </c>
      <c r="V50" s="15">
        <f t="shared" si="164"/>
        <v>133.08519237992527</v>
      </c>
      <c r="W50" s="15">
        <f t="shared" si="164"/>
        <v>145.18384623264575</v>
      </c>
      <c r="X50" s="15">
        <f t="shared" si="164"/>
        <v>157.28250008536625</v>
      </c>
      <c r="Y50" s="15">
        <f t="shared" si="164"/>
        <v>169.38115393808675</v>
      </c>
      <c r="Z50" s="15">
        <f t="shared" si="164"/>
        <v>109.85239638037649</v>
      </c>
      <c r="AA50" s="15">
        <f t="shared" si="164"/>
        <v>120.83763601841413</v>
      </c>
      <c r="AB50" s="15">
        <f t="shared" si="164"/>
        <v>131.82287565645174</v>
      </c>
      <c r="AC50" s="15">
        <f t="shared" si="164"/>
        <v>142.8081152944894</v>
      </c>
      <c r="AD50" s="15">
        <f t="shared" si="164"/>
        <v>153.79335493252705</v>
      </c>
      <c r="AE50" s="15">
        <f t="shared" si="164"/>
        <v>120.98653852720481</v>
      </c>
      <c r="AF50" s="15">
        <f t="shared" si="164"/>
        <v>133.08519237992527</v>
      </c>
      <c r="AG50" s="15">
        <f t="shared" si="164"/>
        <v>145.18384623264575</v>
      </c>
      <c r="AH50" s="15">
        <f t="shared" si="164"/>
        <v>157.28250008536625</v>
      </c>
      <c r="AI50" s="15">
        <f t="shared" si="164"/>
        <v>169.38115393808675</v>
      </c>
      <c r="AJ50" s="10"/>
    </row>
    <row r="51" spans="1:36" x14ac:dyDescent="0.25">
      <c r="A51" s="88"/>
      <c r="B51" s="11" t="s">
        <v>275</v>
      </c>
      <c r="C51" s="11" t="s">
        <v>277</v>
      </c>
      <c r="D51" s="11" t="s">
        <v>109</v>
      </c>
      <c r="E51" s="15">
        <f t="shared" ref="E51:AI51" si="165">0.5*E11*E28^2*(E40+E42*E39^2)</f>
        <v>109.85239638037649</v>
      </c>
      <c r="F51" s="15">
        <f t="shared" si="165"/>
        <v>120.83763601841413</v>
      </c>
      <c r="G51" s="15">
        <f t="shared" si="165"/>
        <v>131.82287565645174</v>
      </c>
      <c r="H51" s="15">
        <f t="shared" si="165"/>
        <v>142.8081152944894</v>
      </c>
      <c r="I51" s="15">
        <f t="shared" si="165"/>
        <v>153.79335493252705</v>
      </c>
      <c r="J51" s="15">
        <f t="shared" si="165"/>
        <v>118.14014763890357</v>
      </c>
      <c r="K51" s="15">
        <f>0.5*K11*K28^2*(K40+K42*K39^2)</f>
        <v>129.95416240279391</v>
      </c>
      <c r="L51" s="15">
        <f t="shared" si="165"/>
        <v>141.7681771666843</v>
      </c>
      <c r="M51" s="15">
        <f t="shared" si="165"/>
        <v>153.58219193057462</v>
      </c>
      <c r="N51" s="15">
        <f t="shared" si="165"/>
        <v>165.39620669446498</v>
      </c>
      <c r="O51" s="15">
        <f t="shared" si="165"/>
        <v>142.8081152944894</v>
      </c>
      <c r="P51" s="15">
        <f t="shared" si="165"/>
        <v>109.85239638037649</v>
      </c>
      <c r="Q51" s="15">
        <f t="shared" si="165"/>
        <v>120.83763601841413</v>
      </c>
      <c r="R51" s="15">
        <f t="shared" si="165"/>
        <v>131.82287565645174</v>
      </c>
      <c r="S51" s="15">
        <f t="shared" si="165"/>
        <v>142.8081152944894</v>
      </c>
      <c r="T51" s="15">
        <f t="shared" si="165"/>
        <v>153.79335493252705</v>
      </c>
      <c r="U51" s="15">
        <f t="shared" si="165"/>
        <v>120.98653852720481</v>
      </c>
      <c r="V51" s="15">
        <f t="shared" si="165"/>
        <v>133.08519237992527</v>
      </c>
      <c r="W51" s="15">
        <f t="shared" si="165"/>
        <v>145.18384623264575</v>
      </c>
      <c r="X51" s="15">
        <f t="shared" si="165"/>
        <v>157.28250008536625</v>
      </c>
      <c r="Y51" s="15">
        <f t="shared" si="165"/>
        <v>169.38115393808675</v>
      </c>
      <c r="Z51" s="15">
        <f t="shared" si="165"/>
        <v>109.85239638037649</v>
      </c>
      <c r="AA51" s="15">
        <f t="shared" si="165"/>
        <v>120.83763601841413</v>
      </c>
      <c r="AB51" s="15">
        <f t="shared" si="165"/>
        <v>131.82287565645174</v>
      </c>
      <c r="AC51" s="15">
        <f t="shared" si="165"/>
        <v>142.8081152944894</v>
      </c>
      <c r="AD51" s="15">
        <f t="shared" si="165"/>
        <v>153.79335493252705</v>
      </c>
      <c r="AE51" s="15">
        <f t="shared" si="165"/>
        <v>120.98653852720481</v>
      </c>
      <c r="AF51" s="15">
        <f t="shared" si="165"/>
        <v>133.08519237992527</v>
      </c>
      <c r="AG51" s="15">
        <f t="shared" si="165"/>
        <v>145.18384623264575</v>
      </c>
      <c r="AH51" s="15">
        <f t="shared" si="165"/>
        <v>157.28250008536625</v>
      </c>
      <c r="AI51" s="15">
        <f t="shared" si="165"/>
        <v>169.38115393808675</v>
      </c>
      <c r="AJ51" s="10"/>
    </row>
    <row r="52" spans="1:36" x14ac:dyDescent="0.25">
      <c r="A52" s="88"/>
      <c r="B52" s="11" t="s">
        <v>286</v>
      </c>
      <c r="C52" s="11" t="s">
        <v>134</v>
      </c>
      <c r="D52" s="11"/>
      <c r="E52" s="17">
        <f t="shared" ref="E52:AI52" si="166">E48/E16-E12</f>
        <v>0.25837538776322932</v>
      </c>
      <c r="F52" s="17">
        <f t="shared" si="166"/>
        <v>0.22877493554576797</v>
      </c>
      <c r="G52" s="17">
        <f t="shared" si="166"/>
        <v>0.2044006140289818</v>
      </c>
      <c r="H52" s="17">
        <f t="shared" si="166"/>
        <v>0.18404557967198173</v>
      </c>
      <c r="I52" s="17">
        <f t="shared" si="166"/>
        <v>0.16684680584579423</v>
      </c>
      <c r="J52" s="17">
        <f t="shared" si="166"/>
        <v>0.26342398222728014</v>
      </c>
      <c r="K52" s="17">
        <f t="shared" si="166"/>
        <v>0.23345986005976857</v>
      </c>
      <c r="L52" s="17">
        <f t="shared" si="166"/>
        <v>0.20872050583820892</v>
      </c>
      <c r="M52" s="17">
        <f t="shared" si="166"/>
        <v>0.18800122433376948</v>
      </c>
      <c r="N52" s="17">
        <f t="shared" si="166"/>
        <v>0.17044038378759058</v>
      </c>
      <c r="O52" s="17">
        <f t="shared" si="166"/>
        <v>0.16684680584579423</v>
      </c>
      <c r="P52" s="17">
        <f t="shared" si="166"/>
        <v>0.24337538776322934</v>
      </c>
      <c r="Q52" s="17">
        <f t="shared" si="166"/>
        <v>0.21377493554576796</v>
      </c>
      <c r="R52" s="17">
        <f t="shared" si="166"/>
        <v>0.18940061402898178</v>
      </c>
      <c r="S52" s="17">
        <f t="shared" si="166"/>
        <v>0.16904557967198172</v>
      </c>
      <c r="T52" s="17">
        <f t="shared" si="166"/>
        <v>0.15184680584579421</v>
      </c>
      <c r="U52" s="17">
        <f t="shared" si="166"/>
        <v>0.24992881482622545</v>
      </c>
      <c r="V52" s="17">
        <f t="shared" si="166"/>
        <v>0.21987028061201999</v>
      </c>
      <c r="W52" s="17">
        <f t="shared" si="166"/>
        <v>0.19503555575249937</v>
      </c>
      <c r="X52" s="17">
        <f t="shared" si="166"/>
        <v>0.17422064523370129</v>
      </c>
      <c r="Y52" s="17">
        <f t="shared" si="166"/>
        <v>0.15656438299383996</v>
      </c>
      <c r="Z52" s="17">
        <f t="shared" si="166"/>
        <v>0.23337538776322936</v>
      </c>
      <c r="AA52" s="17">
        <f t="shared" si="166"/>
        <v>0.20377493554576798</v>
      </c>
      <c r="AB52" s="17">
        <f t="shared" si="166"/>
        <v>0.17940061402898178</v>
      </c>
      <c r="AC52" s="17">
        <f t="shared" si="166"/>
        <v>0.15904557967198174</v>
      </c>
      <c r="AD52" s="17">
        <f t="shared" si="166"/>
        <v>0.14184680584579423</v>
      </c>
      <c r="AE52" s="17">
        <f t="shared" si="166"/>
        <v>0.23992881482622547</v>
      </c>
      <c r="AF52" s="17">
        <f t="shared" si="166"/>
        <v>0.20987028061202001</v>
      </c>
      <c r="AG52" s="17">
        <f t="shared" si="166"/>
        <v>0.18503555575249936</v>
      </c>
      <c r="AH52" s="17">
        <f t="shared" si="166"/>
        <v>0.16422064523370128</v>
      </c>
      <c r="AI52" s="17">
        <f t="shared" si="166"/>
        <v>0.14656438299383995</v>
      </c>
      <c r="AJ52" s="10" t="s">
        <v>327</v>
      </c>
    </row>
    <row r="53" spans="1:36" x14ac:dyDescent="0.25">
      <c r="A53" s="88"/>
      <c r="B53" s="11" t="s">
        <v>288</v>
      </c>
      <c r="C53" s="11" t="s">
        <v>107</v>
      </c>
      <c r="D53" s="11"/>
      <c r="E53" s="18">
        <f t="shared" ref="E53:AI53" si="167">E11/(2*E16/E30)*(-E40-E42*E39^2+E12*E39)</f>
        <v>-1.3072369710638007E-4</v>
      </c>
      <c r="F53" s="18">
        <f t="shared" si="167"/>
        <v>-1.1883972464216369E-4</v>
      </c>
      <c r="G53" s="18">
        <f t="shared" si="167"/>
        <v>-1.0893641425531671E-4</v>
      </c>
      <c r="H53" s="18">
        <f t="shared" si="167"/>
        <v>-1.0055669008183081E-4</v>
      </c>
      <c r="I53" s="18">
        <f t="shared" si="167"/>
        <v>-9.3374069361700036E-5</v>
      </c>
      <c r="J53" s="18">
        <f t="shared" si="167"/>
        <v>-1.6142758106070984E-4</v>
      </c>
      <c r="K53" s="18">
        <f>K11/(2*K16/K30)*(-K40-K42*K39^2+K12*K39)</f>
        <v>-1.4675234641882713E-4</v>
      </c>
      <c r="L53" s="18">
        <f t="shared" si="167"/>
        <v>-1.3452298421725819E-4</v>
      </c>
      <c r="M53" s="18">
        <f t="shared" si="167"/>
        <v>-1.2417506235439218E-4</v>
      </c>
      <c r="N53" s="18">
        <f t="shared" si="167"/>
        <v>-1.1530541504336417E-4</v>
      </c>
      <c r="O53" s="18">
        <f t="shared" si="167"/>
        <v>-9.3374069361700036E-5</v>
      </c>
      <c r="P53" s="18">
        <f t="shared" si="167"/>
        <v>-1.0616876938826954E-4</v>
      </c>
      <c r="Q53" s="18">
        <f t="shared" si="167"/>
        <v>-9.6517063080245032E-5</v>
      </c>
      <c r="R53" s="18">
        <f t="shared" si="167"/>
        <v>-8.8473974490224617E-5</v>
      </c>
      <c r="S53" s="18">
        <f t="shared" si="167"/>
        <v>-8.1668284144822707E-5</v>
      </c>
      <c r="T53" s="18">
        <f t="shared" si="167"/>
        <v>-7.5834835277335382E-5</v>
      </c>
      <c r="U53" s="18">
        <f t="shared" si="167"/>
        <v>-1.4386646961959271E-4</v>
      </c>
      <c r="V53" s="18">
        <f t="shared" si="167"/>
        <v>-1.3078769965417519E-4</v>
      </c>
      <c r="W53" s="18">
        <f t="shared" si="167"/>
        <v>-1.1988872468299391E-4</v>
      </c>
      <c r="X53" s="18">
        <f t="shared" si="167"/>
        <v>-1.1066651509199438E-4</v>
      </c>
      <c r="Y53" s="18">
        <f t="shared" si="167"/>
        <v>-1.0276176401399478E-4</v>
      </c>
      <c r="Z53" s="18">
        <f t="shared" si="167"/>
        <v>-8.9798817576195868E-5</v>
      </c>
      <c r="AA53" s="18">
        <f t="shared" si="167"/>
        <v>-8.1635288705632602E-5</v>
      </c>
      <c r="AB53" s="18">
        <f t="shared" si="167"/>
        <v>-7.4832347980163217E-5</v>
      </c>
      <c r="AC53" s="18">
        <f t="shared" si="167"/>
        <v>-6.9076013520150657E-5</v>
      </c>
      <c r="AD53" s="18">
        <f t="shared" si="167"/>
        <v>-6.4142012554425622E-5</v>
      </c>
      <c r="AE53" s="18">
        <f t="shared" si="167"/>
        <v>-1.2480716858124979E-4</v>
      </c>
      <c r="AF53" s="18">
        <f t="shared" si="167"/>
        <v>-1.1346106234659072E-4</v>
      </c>
      <c r="AG53" s="18">
        <f t="shared" si="167"/>
        <v>-1.0400597381770814E-4</v>
      </c>
      <c r="AH53" s="18">
        <f t="shared" si="167"/>
        <v>-9.600551429326905E-5</v>
      </c>
      <c r="AI53" s="18">
        <f t="shared" si="167"/>
        <v>-8.9147977558035556E-5</v>
      </c>
      <c r="AJ53" s="10" t="s">
        <v>328</v>
      </c>
    </row>
    <row r="54" spans="1:36" x14ac:dyDescent="0.25">
      <c r="A54" s="88"/>
      <c r="B54" s="11" t="s">
        <v>289</v>
      </c>
      <c r="C54" s="11" t="s">
        <v>134</v>
      </c>
      <c r="D54" s="11"/>
      <c r="E54" s="17">
        <f t="shared" ref="E54:AI54" si="168">-E49/E19-E13</f>
        <v>-0.38</v>
      </c>
      <c r="F54" s="17">
        <f t="shared" si="168"/>
        <v>-0.38</v>
      </c>
      <c r="G54" s="17">
        <f t="shared" si="168"/>
        <v>-0.38</v>
      </c>
      <c r="H54" s="17">
        <f t="shared" si="168"/>
        <v>-0.38</v>
      </c>
      <c r="I54" s="17">
        <f t="shared" si="168"/>
        <v>-0.38</v>
      </c>
      <c r="J54" s="17">
        <f t="shared" si="168"/>
        <v>-0.38</v>
      </c>
      <c r="K54" s="17">
        <f t="shared" si="168"/>
        <v>-0.38</v>
      </c>
      <c r="L54" s="17">
        <f t="shared" si="168"/>
        <v>-0.38</v>
      </c>
      <c r="M54" s="17">
        <f t="shared" si="168"/>
        <v>-0.38</v>
      </c>
      <c r="N54" s="17">
        <f t="shared" si="168"/>
        <v>-0.38</v>
      </c>
      <c r="O54" s="17">
        <f t="shared" si="168"/>
        <v>-0.38</v>
      </c>
      <c r="P54" s="17">
        <f t="shared" si="168"/>
        <v>-0.35</v>
      </c>
      <c r="Q54" s="17">
        <f t="shared" si="168"/>
        <v>-0.35</v>
      </c>
      <c r="R54" s="17">
        <f t="shared" si="168"/>
        <v>-0.35</v>
      </c>
      <c r="S54" s="17">
        <f t="shared" si="168"/>
        <v>-0.35</v>
      </c>
      <c r="T54" s="17">
        <f t="shared" si="168"/>
        <v>-0.35</v>
      </c>
      <c r="U54" s="17">
        <f t="shared" si="168"/>
        <v>-0.35</v>
      </c>
      <c r="V54" s="17">
        <f t="shared" si="168"/>
        <v>-0.35</v>
      </c>
      <c r="W54" s="17">
        <f t="shared" si="168"/>
        <v>-0.35</v>
      </c>
      <c r="X54" s="17">
        <f t="shared" si="168"/>
        <v>-0.35</v>
      </c>
      <c r="Y54" s="17">
        <f t="shared" si="168"/>
        <v>-0.35</v>
      </c>
      <c r="Z54" s="17">
        <f t="shared" si="168"/>
        <v>-0.25</v>
      </c>
      <c r="AA54" s="17">
        <f t="shared" si="168"/>
        <v>-0.25</v>
      </c>
      <c r="AB54" s="17">
        <f t="shared" si="168"/>
        <v>-0.25</v>
      </c>
      <c r="AC54" s="17">
        <f t="shared" si="168"/>
        <v>-0.25</v>
      </c>
      <c r="AD54" s="17">
        <f t="shared" si="168"/>
        <v>-0.25</v>
      </c>
      <c r="AE54" s="17">
        <f t="shared" si="168"/>
        <v>-0.25</v>
      </c>
      <c r="AF54" s="17">
        <f t="shared" si="168"/>
        <v>-0.25</v>
      </c>
      <c r="AG54" s="17">
        <f t="shared" si="168"/>
        <v>-0.25</v>
      </c>
      <c r="AH54" s="17">
        <f t="shared" si="168"/>
        <v>-0.25</v>
      </c>
      <c r="AI54" s="17">
        <f t="shared" si="168"/>
        <v>-0.25</v>
      </c>
      <c r="AJ54" s="10" t="s">
        <v>295</v>
      </c>
    </row>
    <row r="55" spans="1:36" x14ac:dyDescent="0.25">
      <c r="A55" s="88"/>
      <c r="B55" s="11" t="s">
        <v>287</v>
      </c>
      <c r="C55" s="11" t="s">
        <v>107</v>
      </c>
      <c r="D55" s="11"/>
      <c r="E55" s="18">
        <f t="shared" ref="E55:AI55" si="169">E11/(2*E19/E30)*(-E40-E42*E39^2+E13*E39)</f>
        <v>4.5040959222223531E-4</v>
      </c>
      <c r="F55" s="18">
        <f t="shared" si="169"/>
        <v>4.0946326565657751E-4</v>
      </c>
      <c r="G55" s="18">
        <f t="shared" si="169"/>
        <v>3.753413268518627E-4</v>
      </c>
      <c r="H55" s="18">
        <f t="shared" si="169"/>
        <v>3.4646891709402708E-4</v>
      </c>
      <c r="I55" s="18">
        <f t="shared" si="169"/>
        <v>3.217211373015966E-4</v>
      </c>
      <c r="J55" s="18">
        <f t="shared" si="169"/>
        <v>4.9151717902065606E-4</v>
      </c>
      <c r="K55" s="18">
        <f>K11/(2*K19/K30)*(-K40-K42*K39^2+K13*K39)</f>
        <v>4.4683379910968733E-4</v>
      </c>
      <c r="L55" s="18">
        <f t="shared" si="169"/>
        <v>4.0959764918388004E-4</v>
      </c>
      <c r="M55" s="18">
        <f t="shared" si="169"/>
        <v>3.7809013770819693E-4</v>
      </c>
      <c r="N55" s="18">
        <f t="shared" si="169"/>
        <v>3.5108369930046858E-4</v>
      </c>
      <c r="O55" s="18">
        <f t="shared" si="169"/>
        <v>3.4646891709402708E-4</v>
      </c>
      <c r="P55" s="18">
        <f t="shared" si="169"/>
        <v>4.0129973678601429E-4</v>
      </c>
      <c r="Q55" s="18">
        <f t="shared" si="169"/>
        <v>3.648179425327402E-4</v>
      </c>
      <c r="R55" s="18">
        <f t="shared" si="169"/>
        <v>3.3441644732167854E-4</v>
      </c>
      <c r="S55" s="18">
        <f t="shared" si="169"/>
        <v>3.0869210522001093E-4</v>
      </c>
      <c r="T55" s="18">
        <f t="shared" si="169"/>
        <v>2.8664266913286732E-4</v>
      </c>
      <c r="U55" s="18">
        <f t="shared" si="169"/>
        <v>4.4697186256903779E-4</v>
      </c>
      <c r="V55" s="18">
        <f t="shared" si="169"/>
        <v>4.0633805688094338E-4</v>
      </c>
      <c r="W55" s="18">
        <f t="shared" si="169"/>
        <v>3.7247655214086477E-4</v>
      </c>
      <c r="X55" s="18">
        <f t="shared" si="169"/>
        <v>3.4382450966849052E-4</v>
      </c>
      <c r="Y55" s="18">
        <f t="shared" si="169"/>
        <v>3.1926561612074123E-4</v>
      </c>
      <c r="Z55" s="18">
        <f t="shared" si="169"/>
        <v>2.3760021866527756E-4</v>
      </c>
      <c r="AA55" s="18">
        <f t="shared" si="169"/>
        <v>2.1600019878661596E-4</v>
      </c>
      <c r="AB55" s="18">
        <f t="shared" si="169"/>
        <v>1.9800018222106461E-4</v>
      </c>
      <c r="AC55" s="18">
        <f t="shared" si="169"/>
        <v>1.8276939897329041E-4</v>
      </c>
      <c r="AD55" s="18">
        <f t="shared" si="169"/>
        <v>1.6971444190376969E-4</v>
      </c>
      <c r="AE55" s="18">
        <f t="shared" si="169"/>
        <v>2.5637885218560857E-4</v>
      </c>
      <c r="AF55" s="18">
        <f t="shared" si="169"/>
        <v>2.330716838050987E-4</v>
      </c>
      <c r="AG55" s="18">
        <f t="shared" si="169"/>
        <v>2.1364904348800714E-4</v>
      </c>
      <c r="AH55" s="18">
        <f t="shared" si="169"/>
        <v>1.9721450168123735E-4</v>
      </c>
      <c r="AI55" s="18">
        <f t="shared" si="169"/>
        <v>1.8312775156114898E-4</v>
      </c>
      <c r="AJ55" s="10" t="s">
        <v>329</v>
      </c>
    </row>
    <row r="56" spans="1:36" x14ac:dyDescent="0.25">
      <c r="A56" s="88"/>
      <c r="B56" s="73" t="s">
        <v>278</v>
      </c>
      <c r="C56" s="11" t="s">
        <v>300</v>
      </c>
      <c r="D56" s="11" t="s">
        <v>19</v>
      </c>
      <c r="E56" s="14">
        <f>0</f>
        <v>0</v>
      </c>
      <c r="F56" s="14">
        <f>0</f>
        <v>0</v>
      </c>
      <c r="G56" s="14">
        <f>0</f>
        <v>0</v>
      </c>
      <c r="H56" s="14">
        <f>0</f>
        <v>0</v>
      </c>
      <c r="I56" s="14">
        <f>0</f>
        <v>0</v>
      </c>
      <c r="J56" s="14">
        <f>0</f>
        <v>0</v>
      </c>
      <c r="K56" s="14">
        <f>0</f>
        <v>0</v>
      </c>
      <c r="L56" s="14">
        <f>0</f>
        <v>0</v>
      </c>
      <c r="M56" s="14">
        <f>0</f>
        <v>0</v>
      </c>
      <c r="N56" s="14">
        <f>0</f>
        <v>0</v>
      </c>
      <c r="O56" s="14">
        <f>0</f>
        <v>0</v>
      </c>
      <c r="P56" s="14">
        <f>0</f>
        <v>0</v>
      </c>
      <c r="Q56" s="14">
        <f>0</f>
        <v>0</v>
      </c>
      <c r="R56" s="14">
        <f>0</f>
        <v>0</v>
      </c>
      <c r="S56" s="14">
        <f>0</f>
        <v>0</v>
      </c>
      <c r="T56" s="14">
        <f>0</f>
        <v>0</v>
      </c>
      <c r="U56" s="14">
        <f>0</f>
        <v>0</v>
      </c>
      <c r="V56" s="14">
        <f>0</f>
        <v>0</v>
      </c>
      <c r="W56" s="14">
        <f>0</f>
        <v>0</v>
      </c>
      <c r="X56" s="14">
        <f>0</f>
        <v>0</v>
      </c>
      <c r="Y56" s="14">
        <f>0</f>
        <v>0</v>
      </c>
      <c r="Z56" s="14">
        <f>0</f>
        <v>0</v>
      </c>
      <c r="AA56" s="14">
        <f>0</f>
        <v>0</v>
      </c>
      <c r="AB56" s="14">
        <f>0</f>
        <v>0</v>
      </c>
      <c r="AC56" s="14">
        <f>0</f>
        <v>0</v>
      </c>
      <c r="AD56" s="14">
        <f>0</f>
        <v>0</v>
      </c>
      <c r="AE56" s="14">
        <f>0</f>
        <v>0</v>
      </c>
      <c r="AF56" s="14">
        <f>0</f>
        <v>0</v>
      </c>
      <c r="AG56" s="14">
        <f>0</f>
        <v>0</v>
      </c>
      <c r="AH56" s="14">
        <f>0</f>
        <v>0</v>
      </c>
      <c r="AI56" s="14">
        <f>0</f>
        <v>0</v>
      </c>
      <c r="AJ56" s="10"/>
    </row>
    <row r="57" spans="1:36" x14ac:dyDescent="0.25">
      <c r="A57" s="88"/>
      <c r="B57" s="73" t="s">
        <v>279</v>
      </c>
      <c r="C57" s="11" t="s">
        <v>301</v>
      </c>
      <c r="D57" s="11" t="s">
        <v>19</v>
      </c>
      <c r="E57" s="14">
        <f t="shared" ref="E57:AI57" si="170">E26</f>
        <v>27.187481868407747</v>
      </c>
      <c r="F57" s="14">
        <f t="shared" ref="F57" si="171">F26</f>
        <v>28.514471543051609</v>
      </c>
      <c r="G57" s="14">
        <f t="shared" si="170"/>
        <v>29.782394202179244</v>
      </c>
      <c r="H57" s="14">
        <f t="shared" ref="H57" si="172">H26</f>
        <v>30.998498696686905</v>
      </c>
      <c r="I57" s="14">
        <f t="shared" si="170"/>
        <v>32.168662367014889</v>
      </c>
      <c r="J57" s="14">
        <f t="shared" si="170"/>
        <v>25.648893908518765</v>
      </c>
      <c r="K57" s="14">
        <f t="shared" ref="K57" si="173">K26</f>
        <v>26.900786877031983</v>
      </c>
      <c r="L57" s="14">
        <f t="shared" si="170"/>
        <v>28.096955537505149</v>
      </c>
      <c r="M57" s="14">
        <f t="shared" ref="M57" si="174">M26</f>
        <v>29.244238515468073</v>
      </c>
      <c r="N57" s="14">
        <f t="shared" si="170"/>
        <v>30.348180542210951</v>
      </c>
      <c r="O57" s="14">
        <f t="shared" si="170"/>
        <v>32.168662367014889</v>
      </c>
      <c r="P57" s="14">
        <f t="shared" si="170"/>
        <v>27.187481868407747</v>
      </c>
      <c r="Q57" s="14">
        <f t="shared" si="170"/>
        <v>28.514471543051609</v>
      </c>
      <c r="R57" s="14">
        <f t="shared" si="170"/>
        <v>29.782394202179244</v>
      </c>
      <c r="S57" s="14">
        <f t="shared" si="170"/>
        <v>30.998498696686905</v>
      </c>
      <c r="T57" s="14">
        <f t="shared" si="170"/>
        <v>32.168662367014889</v>
      </c>
      <c r="U57" s="14">
        <f t="shared" si="170"/>
        <v>25.196440961098748</v>
      </c>
      <c r="V57" s="14">
        <f t="shared" si="170"/>
        <v>26.426250222397204</v>
      </c>
      <c r="W57" s="14">
        <f t="shared" si="170"/>
        <v>27.601318166481864</v>
      </c>
      <c r="X57" s="14">
        <f t="shared" si="170"/>
        <v>28.728362783806098</v>
      </c>
      <c r="Y57" s="14">
        <f t="shared" si="170"/>
        <v>29.812830995203875</v>
      </c>
      <c r="Z57" s="14">
        <f t="shared" si="170"/>
        <v>27.187481868407747</v>
      </c>
      <c r="AA57" s="14">
        <f t="shared" si="170"/>
        <v>28.514471543051609</v>
      </c>
      <c r="AB57" s="14">
        <f t="shared" si="170"/>
        <v>29.782394202179244</v>
      </c>
      <c r="AC57" s="14">
        <f t="shared" si="170"/>
        <v>30.998498696686905</v>
      </c>
      <c r="AD57" s="14">
        <f t="shared" si="170"/>
        <v>32.168662367014889</v>
      </c>
      <c r="AE57" s="14">
        <f t="shared" si="170"/>
        <v>25.196440961098748</v>
      </c>
      <c r="AF57" s="14">
        <f t="shared" si="170"/>
        <v>26.426250222397204</v>
      </c>
      <c r="AG57" s="14">
        <f t="shared" si="170"/>
        <v>27.601318166481864</v>
      </c>
      <c r="AH57" s="14">
        <f t="shared" si="170"/>
        <v>28.728362783806098</v>
      </c>
      <c r="AI57" s="14">
        <f t="shared" si="170"/>
        <v>29.812830995203875</v>
      </c>
      <c r="AJ57" s="10"/>
    </row>
    <row r="58" spans="1:36" x14ac:dyDescent="0.25">
      <c r="A58" s="88"/>
      <c r="B58" s="73" t="s">
        <v>280</v>
      </c>
      <c r="C58" s="11" t="s">
        <v>302</v>
      </c>
      <c r="D58" s="11" t="s">
        <v>19</v>
      </c>
      <c r="E58" s="14">
        <f t="shared" ref="E58:N58" si="175">E28</f>
        <v>27.187481868407747</v>
      </c>
      <c r="F58" s="14">
        <f t="shared" ref="F58" si="176">F28</f>
        <v>28.514471543051609</v>
      </c>
      <c r="G58" s="14">
        <f t="shared" si="175"/>
        <v>29.782394202179244</v>
      </c>
      <c r="H58" s="14">
        <f t="shared" ref="H58" si="177">H28</f>
        <v>30.998498696686905</v>
      </c>
      <c r="I58" s="14">
        <f t="shared" si="175"/>
        <v>32.168662367014889</v>
      </c>
      <c r="J58" s="14">
        <f t="shared" si="175"/>
        <v>25.648893908518765</v>
      </c>
      <c r="K58" s="14">
        <f t="shared" ref="K58" si="178">K28</f>
        <v>26.900786877031983</v>
      </c>
      <c r="L58" s="14">
        <f t="shared" si="175"/>
        <v>28.096955537505149</v>
      </c>
      <c r="M58" s="14">
        <f t="shared" ref="M58" si="179">M28</f>
        <v>29.244238515468073</v>
      </c>
      <c r="N58" s="14">
        <f t="shared" si="175"/>
        <v>30.348180542210951</v>
      </c>
      <c r="O58" s="14">
        <f t="shared" ref="O58:AI58" si="180">O28</f>
        <v>30.998498696686905</v>
      </c>
      <c r="P58" s="14">
        <f t="shared" si="180"/>
        <v>27.187481868407747</v>
      </c>
      <c r="Q58" s="14">
        <f t="shared" si="180"/>
        <v>28.514471543051609</v>
      </c>
      <c r="R58" s="14">
        <f t="shared" si="180"/>
        <v>29.782394202179244</v>
      </c>
      <c r="S58" s="14">
        <f t="shared" si="180"/>
        <v>30.998498696686905</v>
      </c>
      <c r="T58" s="14">
        <f t="shared" si="180"/>
        <v>32.168662367014889</v>
      </c>
      <c r="U58" s="14">
        <f t="shared" si="180"/>
        <v>25.196440961098748</v>
      </c>
      <c r="V58" s="14">
        <f t="shared" si="180"/>
        <v>26.426250222397204</v>
      </c>
      <c r="W58" s="14">
        <f t="shared" si="180"/>
        <v>27.601318166481864</v>
      </c>
      <c r="X58" s="14">
        <f t="shared" si="180"/>
        <v>28.728362783806098</v>
      </c>
      <c r="Y58" s="14">
        <f t="shared" si="180"/>
        <v>29.812830995203875</v>
      </c>
      <c r="Z58" s="14">
        <f t="shared" si="180"/>
        <v>27.187481868407747</v>
      </c>
      <c r="AA58" s="14">
        <f t="shared" si="180"/>
        <v>28.514471543051609</v>
      </c>
      <c r="AB58" s="14">
        <f t="shared" si="180"/>
        <v>29.782394202179244</v>
      </c>
      <c r="AC58" s="14">
        <f t="shared" si="180"/>
        <v>30.998498696686905</v>
      </c>
      <c r="AD58" s="14">
        <f t="shared" si="180"/>
        <v>32.168662367014889</v>
      </c>
      <c r="AE58" s="14">
        <f t="shared" si="180"/>
        <v>25.196440961098748</v>
      </c>
      <c r="AF58" s="14">
        <f t="shared" si="180"/>
        <v>26.426250222397204</v>
      </c>
      <c r="AG58" s="14">
        <f t="shared" si="180"/>
        <v>27.601318166481864</v>
      </c>
      <c r="AH58" s="14">
        <f t="shared" si="180"/>
        <v>28.728362783806098</v>
      </c>
      <c r="AI58" s="14">
        <f t="shared" si="180"/>
        <v>29.812830995203875</v>
      </c>
      <c r="AJ58" s="10"/>
    </row>
    <row r="59" spans="1:36" x14ac:dyDescent="0.25">
      <c r="A59" s="88"/>
      <c r="B59" s="73" t="s">
        <v>281</v>
      </c>
      <c r="C59" s="11" t="s">
        <v>303</v>
      </c>
      <c r="D59" s="11" t="s">
        <v>19</v>
      </c>
      <c r="E59" s="14">
        <f>0</f>
        <v>0</v>
      </c>
      <c r="F59" s="14">
        <f>0</f>
        <v>0</v>
      </c>
      <c r="G59" s="14">
        <f>0</f>
        <v>0</v>
      </c>
      <c r="H59" s="14">
        <f>0</f>
        <v>0</v>
      </c>
      <c r="I59" s="14">
        <f>0</f>
        <v>0</v>
      </c>
      <c r="J59" s="14">
        <f>0</f>
        <v>0</v>
      </c>
      <c r="K59" s="14">
        <f>0</f>
        <v>0</v>
      </c>
      <c r="L59" s="14">
        <f>0</f>
        <v>0</v>
      </c>
      <c r="M59" s="14">
        <f>0</f>
        <v>0</v>
      </c>
      <c r="N59" s="14">
        <f>0</f>
        <v>0</v>
      </c>
      <c r="O59" s="14">
        <f>0</f>
        <v>0</v>
      </c>
      <c r="P59" s="14">
        <f>0</f>
        <v>0</v>
      </c>
      <c r="Q59" s="14">
        <f>0</f>
        <v>0</v>
      </c>
      <c r="R59" s="14">
        <f>0</f>
        <v>0</v>
      </c>
      <c r="S59" s="14">
        <f>0</f>
        <v>0</v>
      </c>
      <c r="T59" s="14">
        <f>0</f>
        <v>0</v>
      </c>
      <c r="U59" s="14">
        <f>0</f>
        <v>0</v>
      </c>
      <c r="V59" s="14">
        <f>0</f>
        <v>0</v>
      </c>
      <c r="W59" s="14">
        <f>0</f>
        <v>0</v>
      </c>
      <c r="X59" s="14">
        <f>0</f>
        <v>0</v>
      </c>
      <c r="Y59" s="14">
        <f>0</f>
        <v>0</v>
      </c>
      <c r="Z59" s="14">
        <f>0</f>
        <v>0</v>
      </c>
      <c r="AA59" s="14">
        <f>0</f>
        <v>0</v>
      </c>
      <c r="AB59" s="14">
        <f>0</f>
        <v>0</v>
      </c>
      <c r="AC59" s="14">
        <f>0</f>
        <v>0</v>
      </c>
      <c r="AD59" s="14">
        <f>0</f>
        <v>0</v>
      </c>
      <c r="AE59" s="14">
        <f>0</f>
        <v>0</v>
      </c>
      <c r="AF59" s="14">
        <f>0</f>
        <v>0</v>
      </c>
      <c r="AG59" s="14">
        <f>0</f>
        <v>0</v>
      </c>
      <c r="AH59" s="14">
        <f>0</f>
        <v>0</v>
      </c>
      <c r="AI59" s="14">
        <f>0</f>
        <v>0</v>
      </c>
      <c r="AJ59" s="10"/>
    </row>
    <row r="60" spans="1:36" x14ac:dyDescent="0.25">
      <c r="A60" s="88"/>
      <c r="B60" s="73" t="s">
        <v>282</v>
      </c>
      <c r="C60" s="11" t="s">
        <v>296</v>
      </c>
      <c r="D60" s="11" t="s">
        <v>109</v>
      </c>
      <c r="E60" s="18">
        <f t="shared" ref="E60:AI60" si="181">E48-E12*E16</f>
        <v>5746.5549234985501</v>
      </c>
      <c r="F60" s="18">
        <f t="shared" si="181"/>
        <v>5597.0288732848194</v>
      </c>
      <c r="G60" s="18">
        <f t="shared" si="181"/>
        <v>5455.3153769774117</v>
      </c>
      <c r="H60" s="18">
        <f t="shared" si="181"/>
        <v>5321.390916985375</v>
      </c>
      <c r="I60" s="18">
        <f t="shared" si="181"/>
        <v>5195.2009774030366</v>
      </c>
      <c r="J60" s="18">
        <f t="shared" si="181"/>
        <v>5858.8412586069262</v>
      </c>
      <c r="K60" s="18">
        <f t="shared" si="181"/>
        <v>5711.6465769745464</v>
      </c>
      <c r="L60" s="18">
        <f t="shared" si="181"/>
        <v>5570.6103937057569</v>
      </c>
      <c r="M60" s="18">
        <f t="shared" si="181"/>
        <v>5435.7622135499259</v>
      </c>
      <c r="N60" s="18">
        <f t="shared" si="181"/>
        <v>5307.0961949407892</v>
      </c>
      <c r="O60" s="18">
        <f t="shared" si="181"/>
        <v>5195.2009774030366</v>
      </c>
      <c r="P60" s="18">
        <f t="shared" si="181"/>
        <v>5412.9383023540122</v>
      </c>
      <c r="Q60" s="18">
        <f t="shared" si="181"/>
        <v>5230.0505900258286</v>
      </c>
      <c r="R60" s="18">
        <f t="shared" si="181"/>
        <v>5054.9754316039671</v>
      </c>
      <c r="S60" s="18">
        <f t="shared" si="181"/>
        <v>4887.6893094974757</v>
      </c>
      <c r="T60" s="18">
        <f t="shared" si="181"/>
        <v>4728.1377078006844</v>
      </c>
      <c r="U60" s="18">
        <f t="shared" si="181"/>
        <v>5558.6937819322748</v>
      </c>
      <c r="V60" s="18">
        <f t="shared" si="181"/>
        <v>5379.1745412447854</v>
      </c>
      <c r="W60" s="18">
        <f t="shared" si="181"/>
        <v>5205.3682490556712</v>
      </c>
      <c r="X60" s="18">
        <f t="shared" si="181"/>
        <v>5037.3182596956785</v>
      </c>
      <c r="Y60" s="18">
        <f t="shared" si="181"/>
        <v>4875.0315082918569</v>
      </c>
      <c r="Z60" s="18">
        <f t="shared" si="181"/>
        <v>5190.5272215909872</v>
      </c>
      <c r="AA60" s="18">
        <f t="shared" si="181"/>
        <v>4985.3984011865005</v>
      </c>
      <c r="AB60" s="18">
        <f t="shared" si="181"/>
        <v>4788.0821346883367</v>
      </c>
      <c r="AC60" s="18">
        <f t="shared" si="181"/>
        <v>4598.5549045055432</v>
      </c>
      <c r="AD60" s="18">
        <f t="shared" si="181"/>
        <v>4416.7621947324496</v>
      </c>
      <c r="AE60" s="18">
        <f t="shared" si="181"/>
        <v>5336.2827011692498</v>
      </c>
      <c r="AF60" s="18">
        <f t="shared" si="181"/>
        <v>5134.5223524054572</v>
      </c>
      <c r="AG60" s="18">
        <f t="shared" si="181"/>
        <v>4938.4749521400418</v>
      </c>
      <c r="AH60" s="18">
        <f t="shared" si="181"/>
        <v>4748.183854703746</v>
      </c>
      <c r="AI60" s="18">
        <f t="shared" si="181"/>
        <v>4563.6559952236221</v>
      </c>
      <c r="AJ60" s="10" t="s">
        <v>316</v>
      </c>
    </row>
    <row r="61" spans="1:36" x14ac:dyDescent="0.25">
      <c r="A61" s="88"/>
      <c r="B61" s="73" t="s">
        <v>284</v>
      </c>
      <c r="C61" s="11" t="s">
        <v>297</v>
      </c>
      <c r="D61" s="11" t="s">
        <v>109</v>
      </c>
      <c r="E61" s="18">
        <f t="shared" ref="E61:Z61" si="182">E48-E50</f>
        <v>6192.7302290257358</v>
      </c>
      <c r="F61" s="18">
        <f t="shared" ref="F61" si="183">F48-F50</f>
        <v>6087.8217093647245</v>
      </c>
      <c r="G61" s="18">
        <f t="shared" si="182"/>
        <v>5990.7257436100354</v>
      </c>
      <c r="H61" s="18">
        <f t="shared" ref="H61" si="184">H48-H50</f>
        <v>5901.4188141707164</v>
      </c>
      <c r="I61" s="18">
        <f t="shared" si="182"/>
        <v>5819.8464051410974</v>
      </c>
      <c r="J61" s="18">
        <f t="shared" si="182"/>
        <v>6296.7288128755854</v>
      </c>
      <c r="K61" s="18">
        <f t="shared" ref="K61" si="185">K48-K50</f>
        <v>6193.3228866700711</v>
      </c>
      <c r="L61" s="18">
        <f t="shared" si="182"/>
        <v>6096.0754588281479</v>
      </c>
      <c r="M61" s="18">
        <f t="shared" ref="M61" si="186">M48-M50</f>
        <v>6005.0160340991824</v>
      </c>
      <c r="N61" s="18">
        <f t="shared" si="182"/>
        <v>5920.1387709169121</v>
      </c>
      <c r="O61" s="18">
        <f t="shared" si="182"/>
        <v>5819.8464051410974</v>
      </c>
      <c r="P61" s="18">
        <f t="shared" si="182"/>
        <v>6192.7302290257358</v>
      </c>
      <c r="Q61" s="18">
        <f t="shared" ref="Q61:R61" si="187">Q48-Q50</f>
        <v>6087.8217093647245</v>
      </c>
      <c r="R61" s="18">
        <f t="shared" si="187"/>
        <v>5990.7257436100354</v>
      </c>
      <c r="S61" s="18">
        <f t="shared" ref="S61:W61" si="188">S48-S50</f>
        <v>5901.4188141707164</v>
      </c>
      <c r="T61" s="18">
        <f t="shared" si="188"/>
        <v>5819.8464051410974</v>
      </c>
      <c r="U61" s="18">
        <f t="shared" si="188"/>
        <v>6327.3515664571696</v>
      </c>
      <c r="V61" s="18">
        <f t="shared" si="188"/>
        <v>6224.6981042221696</v>
      </c>
      <c r="W61" s="18">
        <f t="shared" si="188"/>
        <v>6127.7575904855457</v>
      </c>
      <c r="X61" s="18">
        <f t="shared" ref="X61:Y61" si="189">X48-X50</f>
        <v>6036.5733795780425</v>
      </c>
      <c r="Y61" s="18">
        <f t="shared" si="189"/>
        <v>5951.1524066267102</v>
      </c>
      <c r="Z61" s="18">
        <f t="shared" si="182"/>
        <v>6192.7302290257358</v>
      </c>
      <c r="AA61" s="18">
        <f t="shared" ref="AA61:AB61" si="190">AA48-AA50</f>
        <v>6087.8217093647245</v>
      </c>
      <c r="AB61" s="18">
        <f t="shared" si="190"/>
        <v>5990.7257436100354</v>
      </c>
      <c r="AC61" s="18">
        <f t="shared" ref="AC61:AF61" si="191">AC48-AC50</f>
        <v>5901.4188141707164</v>
      </c>
      <c r="AD61" s="18">
        <f t="shared" si="191"/>
        <v>5819.8464051410974</v>
      </c>
      <c r="AE61" s="18">
        <f t="shared" si="191"/>
        <v>6327.3515664571696</v>
      </c>
      <c r="AF61" s="18">
        <f t="shared" si="191"/>
        <v>6224.6981042221696</v>
      </c>
      <c r="AG61" s="18">
        <f t="shared" ref="AG61:AI61" si="192">AG48-AG50</f>
        <v>6127.7575904855457</v>
      </c>
      <c r="AH61" s="18">
        <f t="shared" si="192"/>
        <v>6036.5733795780425</v>
      </c>
      <c r="AI61" s="18">
        <f t="shared" si="192"/>
        <v>5951.1524066267102</v>
      </c>
      <c r="AJ61" s="10" t="s">
        <v>319</v>
      </c>
    </row>
    <row r="62" spans="1:36" x14ac:dyDescent="0.25">
      <c r="A62" s="88"/>
      <c r="B62" s="73" t="s">
        <v>285</v>
      </c>
      <c r="C62" s="11" t="s">
        <v>298</v>
      </c>
      <c r="D62" s="11" t="s">
        <v>109</v>
      </c>
      <c r="E62" s="18">
        <f t="shared" ref="E62:AI62" si="193">E49+E13*E19</f>
        <v>8451.6210689949494</v>
      </c>
      <c r="F62" s="18">
        <f t="shared" si="193"/>
        <v>9296.7831758944449</v>
      </c>
      <c r="G62" s="18">
        <f t="shared" si="193"/>
        <v>10141.945282793939</v>
      </c>
      <c r="H62" s="18">
        <f t="shared" si="193"/>
        <v>10987.107389693436</v>
      </c>
      <c r="I62" s="18">
        <f t="shared" si="193"/>
        <v>11832.269496592931</v>
      </c>
      <c r="J62" s="18">
        <f t="shared" si="193"/>
        <v>8451.6210689949494</v>
      </c>
      <c r="K62" s="18">
        <f t="shared" si="193"/>
        <v>9296.7831758944449</v>
      </c>
      <c r="L62" s="18">
        <f t="shared" si="193"/>
        <v>10141.945282793939</v>
      </c>
      <c r="M62" s="18">
        <f t="shared" si="193"/>
        <v>10987.107389693436</v>
      </c>
      <c r="N62" s="18">
        <f t="shared" si="193"/>
        <v>11832.269496592931</v>
      </c>
      <c r="O62" s="18">
        <f t="shared" si="193"/>
        <v>10987.107389693436</v>
      </c>
      <c r="P62" s="18">
        <f t="shared" si="193"/>
        <v>7784.3878267058735</v>
      </c>
      <c r="Q62" s="18">
        <f t="shared" si="193"/>
        <v>8562.8266093764614</v>
      </c>
      <c r="R62" s="18">
        <f t="shared" si="193"/>
        <v>9341.2653920470493</v>
      </c>
      <c r="S62" s="18">
        <f t="shared" si="193"/>
        <v>10119.704174717637</v>
      </c>
      <c r="T62" s="18">
        <f t="shared" si="193"/>
        <v>10898.142957388225</v>
      </c>
      <c r="U62" s="18">
        <f t="shared" si="193"/>
        <v>7784.3878267058735</v>
      </c>
      <c r="V62" s="18">
        <f t="shared" si="193"/>
        <v>8562.8266093764614</v>
      </c>
      <c r="W62" s="18">
        <f t="shared" si="193"/>
        <v>9341.2653920470493</v>
      </c>
      <c r="X62" s="18">
        <f t="shared" si="193"/>
        <v>10119.704174717637</v>
      </c>
      <c r="Y62" s="18">
        <f t="shared" si="193"/>
        <v>10898.142957388225</v>
      </c>
      <c r="Z62" s="18">
        <f t="shared" si="193"/>
        <v>5560.2770190756246</v>
      </c>
      <c r="AA62" s="18">
        <f t="shared" si="193"/>
        <v>6116.3047209831875</v>
      </c>
      <c r="AB62" s="18">
        <f t="shared" si="193"/>
        <v>6672.3324228907495</v>
      </c>
      <c r="AC62" s="18">
        <f t="shared" si="193"/>
        <v>7228.3601247983124</v>
      </c>
      <c r="AD62" s="18">
        <f t="shared" si="193"/>
        <v>7784.3878267058753</v>
      </c>
      <c r="AE62" s="18">
        <f t="shared" si="193"/>
        <v>5560.2770190756246</v>
      </c>
      <c r="AF62" s="18">
        <f t="shared" si="193"/>
        <v>6116.3047209831875</v>
      </c>
      <c r="AG62" s="18">
        <f t="shared" si="193"/>
        <v>6672.3324228907495</v>
      </c>
      <c r="AH62" s="18">
        <f t="shared" si="193"/>
        <v>7228.3601247983124</v>
      </c>
      <c r="AI62" s="18">
        <f t="shared" si="193"/>
        <v>7784.3878267058753</v>
      </c>
      <c r="AJ62" s="10" t="s">
        <v>317</v>
      </c>
    </row>
    <row r="63" spans="1:36" x14ac:dyDescent="0.25">
      <c r="A63" s="88"/>
      <c r="B63" s="73" t="s">
        <v>283</v>
      </c>
      <c r="C63" s="11" t="s">
        <v>299</v>
      </c>
      <c r="D63" s="11" t="s">
        <v>109</v>
      </c>
      <c r="E63" s="18">
        <f t="shared" ref="E63:Z63" si="194">E49+E51</f>
        <v>109.85239638037649</v>
      </c>
      <c r="F63" s="18">
        <f t="shared" ref="F63" si="195">F49+F51</f>
        <v>120.83763601841413</v>
      </c>
      <c r="G63" s="18">
        <f t="shared" si="194"/>
        <v>131.82287565645174</v>
      </c>
      <c r="H63" s="18">
        <f t="shared" ref="H63" si="196">H49+H51</f>
        <v>142.8081152944894</v>
      </c>
      <c r="I63" s="18">
        <f t="shared" si="194"/>
        <v>153.79335493252705</v>
      </c>
      <c r="J63" s="18">
        <f t="shared" si="194"/>
        <v>118.14014763890357</v>
      </c>
      <c r="K63" s="18">
        <f t="shared" ref="K63" si="197">K49+K51</f>
        <v>129.95416240279391</v>
      </c>
      <c r="L63" s="18">
        <f t="shared" si="194"/>
        <v>141.7681771666843</v>
      </c>
      <c r="M63" s="18">
        <f t="shared" ref="M63" si="198">M49+M51</f>
        <v>153.58219193057462</v>
      </c>
      <c r="N63" s="18">
        <f t="shared" si="194"/>
        <v>165.39620669446498</v>
      </c>
      <c r="O63" s="18">
        <f t="shared" si="194"/>
        <v>142.8081152944894</v>
      </c>
      <c r="P63" s="18">
        <f t="shared" si="194"/>
        <v>109.85239638037649</v>
      </c>
      <c r="Q63" s="18">
        <f t="shared" ref="Q63:R63" si="199">Q49+Q51</f>
        <v>120.83763601841413</v>
      </c>
      <c r="R63" s="18">
        <f t="shared" si="199"/>
        <v>131.82287565645174</v>
      </c>
      <c r="S63" s="18">
        <f t="shared" ref="S63:W63" si="200">S49+S51</f>
        <v>142.8081152944894</v>
      </c>
      <c r="T63" s="18">
        <f t="shared" si="200"/>
        <v>153.79335493252705</v>
      </c>
      <c r="U63" s="18">
        <f t="shared" si="200"/>
        <v>120.98653852720481</v>
      </c>
      <c r="V63" s="18">
        <f t="shared" si="200"/>
        <v>133.08519237992527</v>
      </c>
      <c r="W63" s="18">
        <f t="shared" si="200"/>
        <v>145.18384623264575</v>
      </c>
      <c r="X63" s="18">
        <f t="shared" ref="X63:Y63" si="201">X49+X51</f>
        <v>157.28250008536625</v>
      </c>
      <c r="Y63" s="18">
        <f t="shared" si="201"/>
        <v>169.38115393808675</v>
      </c>
      <c r="Z63" s="18">
        <f t="shared" si="194"/>
        <v>109.85239638037649</v>
      </c>
      <c r="AA63" s="18">
        <f t="shared" ref="AA63:AB63" si="202">AA49+AA51</f>
        <v>120.83763601841413</v>
      </c>
      <c r="AB63" s="18">
        <f t="shared" si="202"/>
        <v>131.82287565645174</v>
      </c>
      <c r="AC63" s="18">
        <f t="shared" ref="AC63:AF63" si="203">AC49+AC51</f>
        <v>142.8081152944894</v>
      </c>
      <c r="AD63" s="18">
        <f t="shared" si="203"/>
        <v>153.79335493252705</v>
      </c>
      <c r="AE63" s="18">
        <f t="shared" si="203"/>
        <v>120.98653852720481</v>
      </c>
      <c r="AF63" s="18">
        <f t="shared" si="203"/>
        <v>133.08519237992527</v>
      </c>
      <c r="AG63" s="18">
        <f t="shared" ref="AG63:AI63" si="204">AG49+AG51</f>
        <v>145.18384623264575</v>
      </c>
      <c r="AH63" s="18">
        <f t="shared" si="204"/>
        <v>157.28250008536625</v>
      </c>
      <c r="AI63" s="18">
        <f t="shared" si="204"/>
        <v>169.38115393808675</v>
      </c>
      <c r="AJ63" s="10" t="s">
        <v>318</v>
      </c>
    </row>
    <row r="64" spans="1:36" x14ac:dyDescent="0.25">
      <c r="A64" s="88"/>
      <c r="B64" s="73" t="s">
        <v>304</v>
      </c>
      <c r="C64" s="11" t="s">
        <v>304</v>
      </c>
      <c r="D64" s="11" t="s">
        <v>109</v>
      </c>
      <c r="E64" s="18">
        <f t="shared" ref="E64:AI64" si="205">E48-E12*E16</f>
        <v>5746.5549234985501</v>
      </c>
      <c r="F64" s="18">
        <f t="shared" si="205"/>
        <v>5597.0288732848194</v>
      </c>
      <c r="G64" s="18">
        <f t="shared" si="205"/>
        <v>5455.3153769774117</v>
      </c>
      <c r="H64" s="18">
        <f t="shared" si="205"/>
        <v>5321.390916985375</v>
      </c>
      <c r="I64" s="18">
        <f t="shared" si="205"/>
        <v>5195.2009774030366</v>
      </c>
      <c r="J64" s="18">
        <f t="shared" si="205"/>
        <v>5858.8412586069262</v>
      </c>
      <c r="K64" s="18">
        <f t="shared" si="205"/>
        <v>5711.6465769745464</v>
      </c>
      <c r="L64" s="18">
        <f t="shared" si="205"/>
        <v>5570.6103937057569</v>
      </c>
      <c r="M64" s="18">
        <f t="shared" si="205"/>
        <v>5435.7622135499259</v>
      </c>
      <c r="N64" s="18">
        <f t="shared" si="205"/>
        <v>5307.0961949407892</v>
      </c>
      <c r="O64" s="18">
        <f t="shared" si="205"/>
        <v>5195.2009774030366</v>
      </c>
      <c r="P64" s="18">
        <f t="shared" si="205"/>
        <v>5412.9383023540122</v>
      </c>
      <c r="Q64" s="18">
        <f t="shared" si="205"/>
        <v>5230.0505900258286</v>
      </c>
      <c r="R64" s="18">
        <f t="shared" si="205"/>
        <v>5054.9754316039671</v>
      </c>
      <c r="S64" s="18">
        <f t="shared" si="205"/>
        <v>4887.6893094974757</v>
      </c>
      <c r="T64" s="18">
        <f t="shared" si="205"/>
        <v>4728.1377078006844</v>
      </c>
      <c r="U64" s="18">
        <f t="shared" si="205"/>
        <v>5558.6937819322748</v>
      </c>
      <c r="V64" s="18">
        <f t="shared" si="205"/>
        <v>5379.1745412447854</v>
      </c>
      <c r="W64" s="18">
        <f t="shared" si="205"/>
        <v>5205.3682490556712</v>
      </c>
      <c r="X64" s="18">
        <f t="shared" si="205"/>
        <v>5037.3182596956785</v>
      </c>
      <c r="Y64" s="18">
        <f t="shared" si="205"/>
        <v>4875.0315082918569</v>
      </c>
      <c r="Z64" s="18">
        <f t="shared" si="205"/>
        <v>5190.5272215909872</v>
      </c>
      <c r="AA64" s="18">
        <f t="shared" si="205"/>
        <v>4985.3984011865005</v>
      </c>
      <c r="AB64" s="18">
        <f t="shared" si="205"/>
        <v>4788.0821346883367</v>
      </c>
      <c r="AC64" s="18">
        <f t="shared" si="205"/>
        <v>4598.5549045055432</v>
      </c>
      <c r="AD64" s="18">
        <f t="shared" si="205"/>
        <v>4416.7621947324496</v>
      </c>
      <c r="AE64" s="18">
        <f t="shared" si="205"/>
        <v>5336.2827011692498</v>
      </c>
      <c r="AF64" s="18">
        <f t="shared" si="205"/>
        <v>5134.5223524054572</v>
      </c>
      <c r="AG64" s="18">
        <f t="shared" si="205"/>
        <v>4938.4749521400418</v>
      </c>
      <c r="AH64" s="18">
        <f t="shared" si="205"/>
        <v>4748.183854703746</v>
      </c>
      <c r="AI64" s="18">
        <f t="shared" si="205"/>
        <v>4563.6559952236221</v>
      </c>
      <c r="AJ64" s="10" t="s">
        <v>305</v>
      </c>
    </row>
    <row r="65" spans="1:36" x14ac:dyDescent="0.25">
      <c r="A65" s="88"/>
      <c r="B65" s="73" t="s">
        <v>306</v>
      </c>
      <c r="C65" s="11" t="s">
        <v>306</v>
      </c>
      <c r="D65" s="11" t="s">
        <v>109</v>
      </c>
      <c r="E65" s="18">
        <f t="shared" ref="E65:AI65" si="206">0.5*E11*E30*(E43-E12*E39)</f>
        <v>2.9074398754768311</v>
      </c>
      <c r="F65" s="18">
        <f t="shared" si="206"/>
        <v>2.9074398754768311</v>
      </c>
      <c r="G65" s="18">
        <f t="shared" si="206"/>
        <v>2.9074398754768311</v>
      </c>
      <c r="H65" s="18">
        <f t="shared" si="206"/>
        <v>2.9074398754768311</v>
      </c>
      <c r="I65" s="18">
        <f t="shared" si="206"/>
        <v>2.9074398754768311</v>
      </c>
      <c r="J65" s="18">
        <f t="shared" si="206"/>
        <v>3.5903282768673299</v>
      </c>
      <c r="K65" s="18">
        <f>0.5*K11*K30*(K43-K12*K39)</f>
        <v>3.5903282768673299</v>
      </c>
      <c r="L65" s="18">
        <f t="shared" si="206"/>
        <v>3.5903282768673299</v>
      </c>
      <c r="M65" s="18">
        <f t="shared" si="206"/>
        <v>3.5903282768673299</v>
      </c>
      <c r="N65" s="18">
        <f t="shared" si="206"/>
        <v>3.5903282768673299</v>
      </c>
      <c r="O65" s="18">
        <f t="shared" si="206"/>
        <v>2.9074398754768311</v>
      </c>
      <c r="P65" s="18">
        <f t="shared" si="206"/>
        <v>2.3613110742925394</v>
      </c>
      <c r="Q65" s="18">
        <f t="shared" si="206"/>
        <v>2.3613110742925394</v>
      </c>
      <c r="R65" s="18">
        <f t="shared" si="206"/>
        <v>2.3613110742925394</v>
      </c>
      <c r="S65" s="18">
        <f t="shared" si="206"/>
        <v>2.3613110742925394</v>
      </c>
      <c r="T65" s="18">
        <f t="shared" si="206"/>
        <v>2.3613110742925394</v>
      </c>
      <c r="U65" s="18">
        <f t="shared" si="206"/>
        <v>3.1997496993654515</v>
      </c>
      <c r="V65" s="18">
        <f t="shared" si="206"/>
        <v>3.1997496993654515</v>
      </c>
      <c r="W65" s="18">
        <f t="shared" si="206"/>
        <v>3.1997496993654515</v>
      </c>
      <c r="X65" s="18">
        <f t="shared" si="206"/>
        <v>3.1997496993654515</v>
      </c>
      <c r="Y65" s="18">
        <f t="shared" si="206"/>
        <v>3.1997496993654515</v>
      </c>
      <c r="Z65" s="18">
        <f t="shared" si="206"/>
        <v>1.9972252068363447</v>
      </c>
      <c r="AA65" s="18">
        <f t="shared" si="206"/>
        <v>1.9972252068363447</v>
      </c>
      <c r="AB65" s="18">
        <f t="shared" si="206"/>
        <v>1.9972252068363447</v>
      </c>
      <c r="AC65" s="18">
        <f t="shared" si="206"/>
        <v>1.9972252068363447</v>
      </c>
      <c r="AD65" s="18">
        <f t="shared" si="206"/>
        <v>1.9972252068363447</v>
      </c>
      <c r="AE65" s="18">
        <f t="shared" si="206"/>
        <v>2.7758497251128822</v>
      </c>
      <c r="AF65" s="18">
        <f t="shared" si="206"/>
        <v>2.7758497251128822</v>
      </c>
      <c r="AG65" s="18">
        <f t="shared" si="206"/>
        <v>2.7758497251128822</v>
      </c>
      <c r="AH65" s="18">
        <f t="shared" si="206"/>
        <v>2.7758497251128822</v>
      </c>
      <c r="AI65" s="18">
        <f t="shared" si="206"/>
        <v>2.7758497251128822</v>
      </c>
      <c r="AJ65" s="10" t="s">
        <v>314</v>
      </c>
    </row>
    <row r="66" spans="1:36" x14ac:dyDescent="0.25">
      <c r="A66" s="88"/>
      <c r="B66" s="73" t="s">
        <v>311</v>
      </c>
      <c r="C66" s="73" t="s">
        <v>311</v>
      </c>
      <c r="D66" s="11" t="s">
        <v>109</v>
      </c>
      <c r="E66" s="18">
        <f t="shared" ref="E66:AI66" si="207">0.5*E11*E30*(E43-E13*E39)</f>
        <v>-10.017608419218073</v>
      </c>
      <c r="F66" s="18">
        <f t="shared" si="207"/>
        <v>-10.017608419218073</v>
      </c>
      <c r="G66" s="18">
        <f t="shared" si="207"/>
        <v>-10.017608419218073</v>
      </c>
      <c r="H66" s="18">
        <f t="shared" si="207"/>
        <v>-10.017608419218073</v>
      </c>
      <c r="I66" s="18">
        <f t="shared" si="207"/>
        <v>-10.017608419218073</v>
      </c>
      <c r="J66" s="18">
        <f t="shared" si="207"/>
        <v>-10.931886699957735</v>
      </c>
      <c r="K66" s="18">
        <f>0.5*K11*K30*(K43-K13*K39)</f>
        <v>-10.931886699957735</v>
      </c>
      <c r="L66" s="18">
        <f t="shared" si="207"/>
        <v>-10.931886699957735</v>
      </c>
      <c r="M66" s="18">
        <f t="shared" si="207"/>
        <v>-10.931886699957735</v>
      </c>
      <c r="N66" s="18">
        <f t="shared" si="207"/>
        <v>-10.931886699957735</v>
      </c>
      <c r="O66" s="18">
        <f t="shared" si="207"/>
        <v>-10.017608419218073</v>
      </c>
      <c r="P66" s="18">
        <f t="shared" si="207"/>
        <v>-8.9253508168494893</v>
      </c>
      <c r="Q66" s="18">
        <f t="shared" si="207"/>
        <v>-8.9253508168494893</v>
      </c>
      <c r="R66" s="18">
        <f t="shared" si="207"/>
        <v>-8.9253508168494893</v>
      </c>
      <c r="S66" s="18">
        <f t="shared" si="207"/>
        <v>-8.9253508168494893</v>
      </c>
      <c r="T66" s="18">
        <f t="shared" si="207"/>
        <v>-8.9253508168494893</v>
      </c>
      <c r="U66" s="18">
        <f t="shared" si="207"/>
        <v>-9.9411495024641958</v>
      </c>
      <c r="V66" s="18">
        <f t="shared" si="207"/>
        <v>-9.9411495024641958</v>
      </c>
      <c r="W66" s="18">
        <f t="shared" si="207"/>
        <v>-9.9411495024641958</v>
      </c>
      <c r="X66" s="18">
        <f t="shared" si="207"/>
        <v>-9.9411495024641958</v>
      </c>
      <c r="Y66" s="18">
        <f t="shared" si="207"/>
        <v>-9.9411495024641958</v>
      </c>
      <c r="Z66" s="18">
        <f t="shared" si="207"/>
        <v>-5.2844921422875446</v>
      </c>
      <c r="AA66" s="18">
        <f t="shared" si="207"/>
        <v>-5.2844921422875446</v>
      </c>
      <c r="AB66" s="18">
        <f t="shared" si="207"/>
        <v>-5.2844921422875446</v>
      </c>
      <c r="AC66" s="18">
        <f t="shared" si="207"/>
        <v>-5.2844921422875446</v>
      </c>
      <c r="AD66" s="18">
        <f t="shared" si="207"/>
        <v>-5.2844921422875446</v>
      </c>
      <c r="AE66" s="18">
        <f t="shared" si="207"/>
        <v>-5.7021497599385036</v>
      </c>
      <c r="AF66" s="18">
        <f t="shared" si="207"/>
        <v>-5.7021497599385036</v>
      </c>
      <c r="AG66" s="18">
        <f t="shared" si="207"/>
        <v>-5.7021497599385036</v>
      </c>
      <c r="AH66" s="18">
        <f t="shared" si="207"/>
        <v>-5.7021497599385036</v>
      </c>
      <c r="AI66" s="18">
        <f t="shared" si="207"/>
        <v>-5.7021497599385036</v>
      </c>
      <c r="AJ66" s="10" t="s">
        <v>313</v>
      </c>
    </row>
    <row r="67" spans="1:36" x14ac:dyDescent="0.25">
      <c r="A67" s="88"/>
      <c r="B67" s="73" t="s">
        <v>312</v>
      </c>
      <c r="C67" s="73" t="s">
        <v>312</v>
      </c>
      <c r="D67" s="11" t="s">
        <v>109</v>
      </c>
      <c r="E67" s="18">
        <f t="shared" ref="E67:AI67" si="208">E49+E13*E16</f>
        <v>8451.6210689949494</v>
      </c>
      <c r="F67" s="18">
        <f t="shared" si="208"/>
        <v>9296.7831758944449</v>
      </c>
      <c r="G67" s="18">
        <f t="shared" si="208"/>
        <v>10141.945282793939</v>
      </c>
      <c r="H67" s="18">
        <f t="shared" si="208"/>
        <v>10987.107389693436</v>
      </c>
      <c r="I67" s="18">
        <f t="shared" si="208"/>
        <v>11832.269496592931</v>
      </c>
      <c r="J67" s="18">
        <f t="shared" si="208"/>
        <v>8451.6210689949494</v>
      </c>
      <c r="K67" s="18">
        <f t="shared" si="208"/>
        <v>9296.7831758944449</v>
      </c>
      <c r="L67" s="18">
        <f t="shared" si="208"/>
        <v>10141.945282793939</v>
      </c>
      <c r="M67" s="18">
        <f t="shared" si="208"/>
        <v>10987.107389693436</v>
      </c>
      <c r="N67" s="18">
        <f t="shared" si="208"/>
        <v>11832.269496592931</v>
      </c>
      <c r="O67" s="18">
        <f t="shared" si="208"/>
        <v>11832.269496592931</v>
      </c>
      <c r="P67" s="18">
        <f t="shared" si="208"/>
        <v>7784.3878267058735</v>
      </c>
      <c r="Q67" s="18">
        <f t="shared" si="208"/>
        <v>8562.8266093764614</v>
      </c>
      <c r="R67" s="18">
        <f t="shared" si="208"/>
        <v>9341.2653920470493</v>
      </c>
      <c r="S67" s="18">
        <f t="shared" si="208"/>
        <v>10119.704174717637</v>
      </c>
      <c r="T67" s="18">
        <f t="shared" si="208"/>
        <v>10898.142957388225</v>
      </c>
      <c r="U67" s="18">
        <f t="shared" si="208"/>
        <v>7784.3878267058735</v>
      </c>
      <c r="V67" s="18">
        <f t="shared" si="208"/>
        <v>8562.8266093764614</v>
      </c>
      <c r="W67" s="18">
        <f t="shared" si="208"/>
        <v>9341.2653920470493</v>
      </c>
      <c r="X67" s="18">
        <f t="shared" si="208"/>
        <v>10119.704174717637</v>
      </c>
      <c r="Y67" s="18">
        <f t="shared" si="208"/>
        <v>10898.142957388225</v>
      </c>
      <c r="Z67" s="18">
        <f t="shared" si="208"/>
        <v>5560.2770190756246</v>
      </c>
      <c r="AA67" s="18">
        <f t="shared" si="208"/>
        <v>6116.3047209831875</v>
      </c>
      <c r="AB67" s="18">
        <f t="shared" si="208"/>
        <v>6672.3324228907495</v>
      </c>
      <c r="AC67" s="18">
        <f t="shared" si="208"/>
        <v>7228.3601247983124</v>
      </c>
      <c r="AD67" s="18">
        <f t="shared" si="208"/>
        <v>7784.3878267058753</v>
      </c>
      <c r="AE67" s="18">
        <f t="shared" si="208"/>
        <v>5560.2770190756246</v>
      </c>
      <c r="AF67" s="18">
        <f t="shared" si="208"/>
        <v>6116.3047209831875</v>
      </c>
      <c r="AG67" s="18">
        <f t="shared" si="208"/>
        <v>6672.3324228907495</v>
      </c>
      <c r="AH67" s="18">
        <f t="shared" si="208"/>
        <v>7228.3601247983124</v>
      </c>
      <c r="AI67" s="18">
        <f t="shared" si="208"/>
        <v>7784.3878267058753</v>
      </c>
      <c r="AJ67" s="10" t="s">
        <v>315</v>
      </c>
    </row>
    <row r="68" spans="1:36" x14ac:dyDescent="0.25">
      <c r="A68" s="88"/>
      <c r="B68" s="73" t="s">
        <v>309</v>
      </c>
      <c r="C68" s="73" t="s">
        <v>322</v>
      </c>
      <c r="D68" s="11" t="s">
        <v>19</v>
      </c>
      <c r="E68" s="14">
        <f t="shared" ref="E68:N68" si="209">E21</f>
        <v>24.715892607643404</v>
      </c>
      <c r="F68" s="14">
        <f t="shared" ref="F68" si="210">F21</f>
        <v>25.922246857319642</v>
      </c>
      <c r="G68" s="14">
        <f t="shared" si="209"/>
        <v>27.074903820162948</v>
      </c>
      <c r="H68" s="14">
        <f t="shared" ref="H68" si="211">H21</f>
        <v>28.180453360624458</v>
      </c>
      <c r="I68" s="14">
        <f t="shared" si="209"/>
        <v>29.24423851546808</v>
      </c>
      <c r="J68" s="14">
        <f t="shared" si="209"/>
        <v>23.317176280471603</v>
      </c>
      <c r="K68" s="14">
        <f t="shared" ref="K68" si="212">K21</f>
        <v>24.455260797301801</v>
      </c>
      <c r="L68" s="14">
        <f t="shared" si="209"/>
        <v>25.542686852277406</v>
      </c>
      <c r="M68" s="14">
        <f t="shared" ref="M68" si="213">M21</f>
        <v>26.585671377698247</v>
      </c>
      <c r="N68" s="14">
        <f t="shared" si="209"/>
        <v>27.58925503837359</v>
      </c>
      <c r="O68" s="14">
        <f t="shared" ref="O68:AI68" si="214">O26</f>
        <v>32.168662367014889</v>
      </c>
      <c r="P68" s="14">
        <f t="shared" si="214"/>
        <v>27.187481868407747</v>
      </c>
      <c r="Q68" s="14">
        <f t="shared" si="214"/>
        <v>28.514471543051609</v>
      </c>
      <c r="R68" s="14">
        <f t="shared" si="214"/>
        <v>29.782394202179244</v>
      </c>
      <c r="S68" s="14">
        <f t="shared" si="214"/>
        <v>30.998498696686905</v>
      </c>
      <c r="T68" s="14">
        <f t="shared" si="214"/>
        <v>32.168662367014889</v>
      </c>
      <c r="U68" s="14">
        <f t="shared" si="214"/>
        <v>25.196440961098748</v>
      </c>
      <c r="V68" s="14">
        <f t="shared" si="214"/>
        <v>26.426250222397204</v>
      </c>
      <c r="W68" s="14">
        <f t="shared" si="214"/>
        <v>27.601318166481864</v>
      </c>
      <c r="X68" s="14">
        <f t="shared" si="214"/>
        <v>28.728362783806098</v>
      </c>
      <c r="Y68" s="14">
        <f t="shared" si="214"/>
        <v>29.812830995203875</v>
      </c>
      <c r="Z68" s="14">
        <f t="shared" si="214"/>
        <v>27.187481868407747</v>
      </c>
      <c r="AA68" s="14">
        <f t="shared" si="214"/>
        <v>28.514471543051609</v>
      </c>
      <c r="AB68" s="14">
        <f t="shared" si="214"/>
        <v>29.782394202179244</v>
      </c>
      <c r="AC68" s="14">
        <f t="shared" si="214"/>
        <v>30.998498696686905</v>
      </c>
      <c r="AD68" s="14">
        <f t="shared" si="214"/>
        <v>32.168662367014889</v>
      </c>
      <c r="AE68" s="14">
        <f t="shared" si="214"/>
        <v>25.196440961098748</v>
      </c>
      <c r="AF68" s="14">
        <f t="shared" si="214"/>
        <v>26.426250222397204</v>
      </c>
      <c r="AG68" s="14">
        <f t="shared" si="214"/>
        <v>27.601318166481864</v>
      </c>
      <c r="AH68" s="14">
        <f t="shared" si="214"/>
        <v>28.728362783806098</v>
      </c>
      <c r="AI68" s="14">
        <f t="shared" si="214"/>
        <v>29.812830995203875</v>
      </c>
      <c r="AJ68" s="10"/>
    </row>
    <row r="69" spans="1:36" x14ac:dyDescent="0.25">
      <c r="A69" s="89"/>
      <c r="B69" s="73" t="s">
        <v>310</v>
      </c>
      <c r="C69" s="73" t="s">
        <v>323</v>
      </c>
      <c r="D69" s="11" t="s">
        <v>324</v>
      </c>
      <c r="E69" s="14">
        <v>1</v>
      </c>
      <c r="F69" s="14">
        <v>1</v>
      </c>
      <c r="G69" s="14">
        <v>1</v>
      </c>
      <c r="H69" s="14">
        <v>1</v>
      </c>
      <c r="I69" s="14">
        <v>1</v>
      </c>
      <c r="J69" s="14">
        <v>1</v>
      </c>
      <c r="K69" s="14">
        <v>1</v>
      </c>
      <c r="L69" s="14">
        <v>1</v>
      </c>
      <c r="M69" s="14">
        <v>1</v>
      </c>
      <c r="N69" s="14">
        <v>1</v>
      </c>
      <c r="O69" s="14">
        <v>1</v>
      </c>
      <c r="P69" s="14">
        <v>1</v>
      </c>
      <c r="Q69" s="14">
        <v>1</v>
      </c>
      <c r="R69" s="14">
        <v>1</v>
      </c>
      <c r="S69" s="14">
        <v>1</v>
      </c>
      <c r="T69" s="14">
        <v>1</v>
      </c>
      <c r="U69" s="14">
        <v>1</v>
      </c>
      <c r="V69" s="14">
        <v>1</v>
      </c>
      <c r="W69" s="14">
        <v>1</v>
      </c>
      <c r="X69" s="14">
        <v>1</v>
      </c>
      <c r="Y69" s="14">
        <v>1</v>
      </c>
      <c r="Z69" s="14">
        <v>1</v>
      </c>
      <c r="AA69" s="14">
        <v>1</v>
      </c>
      <c r="AB69" s="14">
        <v>1</v>
      </c>
      <c r="AC69" s="14">
        <v>1</v>
      </c>
      <c r="AD69" s="14">
        <v>1</v>
      </c>
      <c r="AE69" s="14">
        <v>1</v>
      </c>
      <c r="AF69" s="14">
        <v>1</v>
      </c>
      <c r="AG69" s="14">
        <v>1</v>
      </c>
      <c r="AH69" s="14">
        <v>1</v>
      </c>
      <c r="AI69" s="14">
        <v>1</v>
      </c>
      <c r="AJ69" s="10" t="s">
        <v>320</v>
      </c>
    </row>
    <row r="70" spans="1:36" x14ac:dyDescent="0.25">
      <c r="A70" s="87" t="s">
        <v>103</v>
      </c>
      <c r="B70" s="87" t="s">
        <v>164</v>
      </c>
      <c r="C70" s="11" t="s">
        <v>157</v>
      </c>
      <c r="D70" s="11" t="s">
        <v>106</v>
      </c>
      <c r="E70" s="15">
        <f>1/(2*E3*E53)*LN((E52+E53*E57^2)/(E52+E53*E56^2))</f>
        <v>182.67436343012278</v>
      </c>
      <c r="F70" s="15">
        <f>1/(2*F3*F53)*LN((F52+F53*F57^2)/(F52+F53*F56^2))</f>
        <v>235.45435796335494</v>
      </c>
      <c r="G70" s="15">
        <f>1/(2*G3*G53)*LN((G52+G53*G57^2)/(G52+G53*G56^2))</f>
        <v>299.55790579056116</v>
      </c>
      <c r="H70" s="15">
        <f>1/(2*H3*H53)*LN((H52+H53*H57^2)/(H52+H53*H56^2))</f>
        <v>377.46754402707523</v>
      </c>
      <c r="I70" s="15">
        <f>1/(2*I3*I53)*LN((I52+I53*I57^2)/(I52+I53*I56^2))</f>
        <v>472.55567048673856</v>
      </c>
      <c r="J70" s="15">
        <f>1/(2*J3*J53)*LN((J52+J53*J57^2)/(J52+J53*J56^2))</f>
        <v>162.99995071319785</v>
      </c>
      <c r="K70" s="15">
        <f>1/(2*K3*K53)*LN((K52+K53*K57^2)/(K52+K53*K56^2))</f>
        <v>210.80541918240596</v>
      </c>
      <c r="L70" s="15">
        <f>1/(2*L3*L53)*LN((L52+L53*L57^2)/(L52+L53*L56^2))</f>
        <v>269.44356368279057</v>
      </c>
      <c r="M70" s="15">
        <f>1/(2*M3*M53)*LN((M52+M53*M57^2)/(M52+M53*M56^2))</f>
        <v>341.66855824906889</v>
      </c>
      <c r="N70" s="15">
        <f>1/(2*N3*N53)*LN((N52+N53*N57^2)/(N52+N53*N56^2))</f>
        <v>431.44324343684474</v>
      </c>
      <c r="O70" s="15">
        <f>1/(2*O3*O53)*LN((O52+O53*O57^2)/(O52+O53*O56^2))</f>
        <v>472.55567048673856</v>
      </c>
      <c r="P70" s="15">
        <f>1/(2*P3*P53)*LN((P52+P53*P57^2)/(P52+P53*P56^2))</f>
        <v>186.93920568920217</v>
      </c>
      <c r="Q70" s="15">
        <f>1/(2*Q3*Q53)*LN((Q52+Q53*Q57^2)/(Q52+Q53*Q56^2))</f>
        <v>241.64284284051431</v>
      </c>
      <c r="R70" s="15">
        <f>1/(2*R3*R53)*LN((R52+R53*R57^2)/(R52+R53*R56^2))</f>
        <v>308.31583663173586</v>
      </c>
      <c r="S70" s="15">
        <f>1/(2*S3*S53)*LN((S52+S53*S57^2)/(S52+S53*S56^2))</f>
        <v>389.5940844267663</v>
      </c>
      <c r="T70" s="15">
        <f>1/(2*T3*T53)*LN((T52+T53*T57^2)/(T52+T53*T56^2))</f>
        <v>489.01092672876189</v>
      </c>
      <c r="U70" s="15">
        <f>1/(2*U3*U53)*LN((U52+U53*U57^2)/(U52+U53*U56^2))</f>
        <v>161.19057109645757</v>
      </c>
      <c r="V70" s="15">
        <f>1/(2*V3*V53)*LN((V52+V53*V57^2)/(V52+V53*V56^2))</f>
        <v>209.2780567211046</v>
      </c>
      <c r="W70" s="15">
        <f>1/(2*W3*W53)*LN((W52+W53*W57^2)/(W52+W53*W56^2))</f>
        <v>268.63668483133409</v>
      </c>
      <c r="X70" s="15">
        <f>1/(2*X3*X53)*LN((X52+X53*X57^2)/(X52+X53*X56^2))</f>
        <v>342.2485256416997</v>
      </c>
      <c r="Y70" s="15">
        <f>1/(2*Y3*Y53)*LN((Y52+Y53*Y57^2)/(Y52+Y53*Y56^2))</f>
        <v>434.41373979519847</v>
      </c>
      <c r="Z70" s="15">
        <f>1/(2*Z3*Z53)*LN((Z52+Z53*Z57^2)/(Z52+Z53*Z56^2))</f>
        <v>190.01028834276417</v>
      </c>
      <c r="AA70" s="15">
        <f>1/(2*AA3*AA53)*LN((AA52+AA53*AA57^2)/(AA52+AA53*AA56^2))</f>
        <v>246.15296835674135</v>
      </c>
      <c r="AB70" s="15">
        <f>1/(2*AB3*AB53)*LN((AB52+AB53*AB57^2)/(AB52+AB53*AB56^2))</f>
        <v>314.78467190322925</v>
      </c>
      <c r="AC70" s="15">
        <f>1/(2*AC3*AC53)*LN((AC52+AC53*AC57^2)/(AC52+AC53*AC56^2))</f>
        <v>398.68839737268542</v>
      </c>
      <c r="AD70" s="15">
        <f>1/(2*AD3*AD53)*LN((AD52+AD53*AD57^2)/(AD52+AD53*AD56^2))</f>
        <v>501.57263327322659</v>
      </c>
      <c r="AE70" s="15">
        <f>1/(2*AE3*AE53)*LN((AE52+AE53*AE57^2)/(AE52+AE53*AE56^2))</f>
        <v>163.75083997284437</v>
      </c>
      <c r="AF70" s="15">
        <f>1/(2*AF3*AF53)*LN((AF52+AF53*AF57^2)/(AF52+AF53*AF56^2))</f>
        <v>213.03723127000117</v>
      </c>
      <c r="AG70" s="15">
        <f>1/(2*AG3*AG53)*LN((AG52+AG53*AG57^2)/(AG52+AG53*AG56^2))</f>
        <v>274.02991612625351</v>
      </c>
      <c r="AH70" s="15">
        <f>1/(2*AH3*AH53)*LN((AH52+AH53*AH57^2)/(AH52+AH53*AH56^2))</f>
        <v>349.83307925427926</v>
      </c>
      <c r="AI70" s="15">
        <f>1/(2*AI3*AI53)*LN((AI52+AI53*AI57^2)/(AI52+AI53*AI56^2))</f>
        <v>444.88226392223714</v>
      </c>
      <c r="AJ70" s="10" t="s">
        <v>237</v>
      </c>
    </row>
    <row r="71" spans="1:36" x14ac:dyDescent="0.25">
      <c r="A71" s="88"/>
      <c r="B71" s="89"/>
      <c r="C71" s="11" t="s">
        <v>158</v>
      </c>
      <c r="D71" s="11" t="s">
        <v>100</v>
      </c>
      <c r="E71" s="15">
        <f t="shared" ref="E71:G71" si="215">E70*CONVERT(1,"m","ft")</f>
        <v>599.3253393376732</v>
      </c>
      <c r="F71" s="15">
        <f t="shared" ref="F71" si="216">F70*CONVERT(1,"m","ft")</f>
        <v>772.48805106087582</v>
      </c>
      <c r="G71" s="15">
        <f t="shared" si="215"/>
        <v>982.80152818425586</v>
      </c>
      <c r="H71" s="15">
        <f t="shared" ref="H71" si="217">H70*CONVERT(1,"m","ft")</f>
        <v>1238.4105775166511</v>
      </c>
      <c r="I71" s="15">
        <f t="shared" ref="I71:Z71" si="218">I70*CONVERT(1,"m","ft")</f>
        <v>1550.3794963475675</v>
      </c>
      <c r="J71" s="15">
        <f t="shared" ref="J71:N71" si="219">J70*CONVERT(1,"m","ft")</f>
        <v>534.77674118503228</v>
      </c>
      <c r="K71" s="15">
        <f t="shared" ref="K71" si="220">K70*CONVERT(1,"m","ft")</f>
        <v>691.61882933860227</v>
      </c>
      <c r="L71" s="15">
        <f t="shared" ref="L71:M71" si="221">L70*CONVERT(1,"m","ft")</f>
        <v>884.00119318500845</v>
      </c>
      <c r="M71" s="15">
        <f t="shared" si="221"/>
        <v>1120.9598367751605</v>
      </c>
      <c r="N71" s="15">
        <f t="shared" si="219"/>
        <v>1415.4962055014591</v>
      </c>
      <c r="O71" s="15">
        <f t="shared" si="218"/>
        <v>1550.3794963475675</v>
      </c>
      <c r="P71" s="78">
        <f t="shared" si="218"/>
        <v>613.31760396719869</v>
      </c>
      <c r="Q71" s="78">
        <f t="shared" ref="Q71:R71" si="222">Q70*CONVERT(1,"m","ft")</f>
        <v>792.79147913554561</v>
      </c>
      <c r="R71" s="78">
        <f t="shared" si="222"/>
        <v>1011.5348970857476</v>
      </c>
      <c r="S71" s="78">
        <f t="shared" ref="S71:W71" si="223">S70*CONVERT(1,"m","ft")</f>
        <v>1278.1958150484459</v>
      </c>
      <c r="T71" s="78">
        <f t="shared" si="223"/>
        <v>1604.3665575090613</v>
      </c>
      <c r="U71" s="78">
        <f t="shared" si="223"/>
        <v>528.84045635320729</v>
      </c>
      <c r="V71" s="78">
        <f t="shared" si="223"/>
        <v>686.60779764141932</v>
      </c>
      <c r="W71" s="78">
        <f t="shared" si="223"/>
        <v>881.35395285870766</v>
      </c>
      <c r="X71" s="78">
        <f t="shared" ref="X71:Y71" si="224">X70*CONVERT(1,"m","ft")</f>
        <v>1122.8626169347103</v>
      </c>
      <c r="Y71" s="78">
        <f t="shared" si="224"/>
        <v>1425.2419284619373</v>
      </c>
      <c r="Z71" s="78">
        <f t="shared" si="218"/>
        <v>623.3933344578877</v>
      </c>
      <c r="AA71" s="78">
        <f t="shared" ref="AA71:AB71" si="225">AA70*CONVERT(1,"m","ft")</f>
        <v>807.58847886069998</v>
      </c>
      <c r="AB71" s="78">
        <f t="shared" si="225"/>
        <v>1032.7581099187312</v>
      </c>
      <c r="AC71" s="78">
        <f t="shared" ref="AC71:AF71" si="226">AC70*CONVERT(1,"m","ft")</f>
        <v>1308.0327997791517</v>
      </c>
      <c r="AD71" s="78">
        <f t="shared" si="226"/>
        <v>1645.5795054895887</v>
      </c>
      <c r="AE71" s="78">
        <f t="shared" si="226"/>
        <v>537.24028862481748</v>
      </c>
      <c r="AF71" s="78">
        <f t="shared" si="226"/>
        <v>698.94104747375718</v>
      </c>
      <c r="AG71" s="78">
        <f t="shared" ref="AG71:AI71" si="227">AG70*CONVERT(1,"m","ft")</f>
        <v>899.04828125411257</v>
      </c>
      <c r="AH71" s="78">
        <f t="shared" si="227"/>
        <v>1147.7463230127273</v>
      </c>
      <c r="AI71" s="78">
        <f t="shared" si="227"/>
        <v>1459.5874800598333</v>
      </c>
      <c r="AJ71" s="10"/>
    </row>
    <row r="72" spans="1:36" x14ac:dyDescent="0.25">
      <c r="A72" s="88"/>
      <c r="B72" s="87" t="s">
        <v>163</v>
      </c>
      <c r="C72" s="11" t="s">
        <v>157</v>
      </c>
      <c r="D72" s="11" t="s">
        <v>106</v>
      </c>
      <c r="E72" s="15">
        <f>E16/(2*E3)*E26^2/(E60-E61)*LN(E60/E61)</f>
        <v>140.47456056845863</v>
      </c>
      <c r="F72" s="15">
        <f>F16/(2*F3)*F26^2/(F60-F61)*LN(F60/F61)</f>
        <v>173.69667784509068</v>
      </c>
      <c r="G72" s="15">
        <f>G16/(2*G3)*G26^2/(G60-G61)*LN(G60/G61)</f>
        <v>211.0561259181685</v>
      </c>
      <c r="H72" s="15">
        <f>H16/(2*H3)*H26^2/(H60-H61)*LN(H60/H61)</f>
        <v>252.66550394073093</v>
      </c>
      <c r="I72" s="15">
        <f>I16/(2*I3)*I26^2/(I60-I61)*LN(I60/I61)</f>
        <v>298.61361592563804</v>
      </c>
      <c r="J72" s="15">
        <f>J16/(2*J3)*J26^2/(J60-J61)*LN(J60/J61)</f>
        <v>122.79640802486485</v>
      </c>
      <c r="K72" s="15">
        <f>K16/(2*K3)*K26^2/(K60-K61)*LN(K60/K61)</f>
        <v>151.72853446669245</v>
      </c>
      <c r="L72" s="15">
        <f>L16/(2*L3)*L26^2/(L60-L61)*LN(L60/L61)</f>
        <v>184.28158604868761</v>
      </c>
      <c r="M72" s="15">
        <f>M16/(2*M3)*M26^2/(M60-M61)*LN(M60/M61)</f>
        <v>220.57838142931359</v>
      </c>
      <c r="N72" s="15">
        <f>N16/(2*N3)*N26^2/(N60-N61)*LN(N60/N61)</f>
        <v>260.72847395418887</v>
      </c>
      <c r="O72" s="15">
        <f>O16/(2*O3)*O26^2/(O60-O61)*LN(O60/O61)</f>
        <v>298.61361592563804</v>
      </c>
      <c r="P72" s="78">
        <f>P16/(2*P3)*P26^2/(P60-P61)*LN(P60/P61)</f>
        <v>144.66330600651091</v>
      </c>
      <c r="Q72" s="78">
        <f>Q16/(2*Q3)*Q26^2/(Q60-Q61)*LN(Q60/Q61)</f>
        <v>179.56756729900843</v>
      </c>
      <c r="R72" s="78">
        <f>R16/(2*R3)*R26^2/(R60-R61)*LN(R60/R61)</f>
        <v>219.07111372240482</v>
      </c>
      <c r="S72" s="78">
        <f>S16/(2*S3)*S26^2/(S60-S61)*LN(S60/S61)</f>
        <v>263.36484596849232</v>
      </c>
      <c r="T72" s="78">
        <f>T16/(2*T3)*T26^2/(T60-T61)*LN(T60/T61)</f>
        <v>312.62110933368029</v>
      </c>
      <c r="U72" s="78">
        <f>U16/(2*U3)*U26^2/(U60-U61)*LN(U60/U61)</f>
        <v>121.30627845159002</v>
      </c>
      <c r="V72" s="78">
        <f>V16/(2*V3)*V26^2/(V60-V61)*LN(V60/V61)</f>
        <v>150.40661967575517</v>
      </c>
      <c r="W72" s="78">
        <f>W16/(2*W3)*W26^2/(W60-W61)*LN(W60/W61)</f>
        <v>183.35325828856119</v>
      </c>
      <c r="X72" s="78">
        <f>X16/(2*X3)*X26^2/(X60-X61)*LN(X60/X61)</f>
        <v>220.33500160091364</v>
      </c>
      <c r="Y72" s="78">
        <f>Y16/(2*Y3)*Y26^2/(Y60-Y61)*LN(Y60/Y61)</f>
        <v>261.53589408952428</v>
      </c>
      <c r="Z72" s="78">
        <f>Z16/(2*Z3)*Z26^2/(Z60-Z61)*LN(Z60/Z61)</f>
        <v>147.64986982639323</v>
      </c>
      <c r="AA72" s="78">
        <f>AA16/(2*AA3)*AA26^2/(AA60-AA61)*LN(AA60/AA61)</f>
        <v>183.79183776694032</v>
      </c>
      <c r="AB72" s="78">
        <f>AB16/(2*AB3)*AB26^2/(AB60-AB61)*LN(AB60/AB61)</f>
        <v>224.89377829714147</v>
      </c>
      <c r="AC72" s="78">
        <f>AC16/(2*AC3)*AC26^2/(AC60-AC61)*LN(AC60/AC61)</f>
        <v>271.21648883330158</v>
      </c>
      <c r="AD72" s="78">
        <f>AD16/(2*AD3)*AD26^2/(AD60-AD61)*LN(AD60/AD61)</f>
        <v>323.00985289894555</v>
      </c>
      <c r="AE72" s="78">
        <f>AE16/(2*AE3)*AE26^2/(AE60-AE61)*LN(AE60/AE61)</f>
        <v>123.7453092985524</v>
      </c>
      <c r="AF72" s="78">
        <f>AF16/(2*AF3)*AF26^2/(AF60-AF61)*LN(AF60/AF61)</f>
        <v>153.84724920457404</v>
      </c>
      <c r="AG72" s="78">
        <f>AG16/(2*AG3)*AG26^2/(AG60-AG61)*LN(AG60/AG61)</f>
        <v>188.08634328916267</v>
      </c>
      <c r="AH72" s="78">
        <f>AH16/(2*AH3)*AH26^2/(AH60-AH61)*LN(AH60/AH61)</f>
        <v>226.70933177024375</v>
      </c>
      <c r="AI72" s="78">
        <f>AI16/(2*AI3)*AI26^2/(AI60-AI61)*LN(AI60/AI61)</f>
        <v>269.96582832753614</v>
      </c>
      <c r="AJ72" s="10" t="s">
        <v>238</v>
      </c>
    </row>
    <row r="73" spans="1:36" s="13" customFormat="1" x14ac:dyDescent="0.25">
      <c r="A73" s="89"/>
      <c r="B73" s="89"/>
      <c r="C73" s="70" t="s">
        <v>158</v>
      </c>
      <c r="D73" s="70" t="s">
        <v>100</v>
      </c>
      <c r="E73" s="122">
        <f t="shared" ref="E73:G73" si="228">E72*CONVERT(1,"m","ft")</f>
        <v>460.87454254743648</v>
      </c>
      <c r="F73" s="122">
        <f t="shared" ref="F73" si="229">F72*CONVERT(1,"m","ft")</f>
        <v>569.8709903054156</v>
      </c>
      <c r="G73" s="122">
        <f t="shared" si="228"/>
        <v>692.44135799924049</v>
      </c>
      <c r="H73" s="122">
        <f t="shared" ref="H73" si="230">H72*CONVERT(1,"m","ft")</f>
        <v>828.95506542234557</v>
      </c>
      <c r="I73" s="122">
        <f t="shared" ref="I73:Z73" si="231">I72*CONVERT(1,"m","ft")</f>
        <v>979.70346432295946</v>
      </c>
      <c r="J73" s="122">
        <f t="shared" ref="J73:N73" si="232">J72*CONVERT(1,"m","ft")</f>
        <v>402.87535441228624</v>
      </c>
      <c r="K73" s="122">
        <f t="shared" ref="K73" si="233">K72*CONVERT(1,"m","ft")</f>
        <v>497.79702909019835</v>
      </c>
      <c r="L73" s="122">
        <f t="shared" ref="L73:M73" si="234">L72*CONVERT(1,"m","ft")</f>
        <v>604.59837942482818</v>
      </c>
      <c r="M73" s="122">
        <f t="shared" si="234"/>
        <v>723.68235377071392</v>
      </c>
      <c r="N73" s="122">
        <f t="shared" si="232"/>
        <v>855.40837911479287</v>
      </c>
      <c r="O73" s="122">
        <f t="shared" si="231"/>
        <v>979.70346432295946</v>
      </c>
      <c r="P73" s="123">
        <f t="shared" si="231"/>
        <v>474.61714569065259</v>
      </c>
      <c r="Q73" s="123">
        <f t="shared" ref="Q73:R73" si="235">Q72*CONVERT(1,"m","ft")</f>
        <v>589.13243864504079</v>
      </c>
      <c r="R73" s="123">
        <f t="shared" si="235"/>
        <v>718.73724974542267</v>
      </c>
      <c r="S73" s="123">
        <f t="shared" ref="S73:W73" si="236">S72*CONVERT(1,"m","ft")</f>
        <v>864.05789359741573</v>
      </c>
      <c r="T73" s="123">
        <f t="shared" si="236"/>
        <v>1025.6598075251979</v>
      </c>
      <c r="U73" s="123">
        <f t="shared" si="236"/>
        <v>397.98647785954734</v>
      </c>
      <c r="V73" s="123">
        <f t="shared" si="236"/>
        <v>493.46003830628337</v>
      </c>
      <c r="W73" s="123">
        <f t="shared" si="236"/>
        <v>601.5526846737572</v>
      </c>
      <c r="X73" s="123">
        <f t="shared" ref="X73:Y73" si="237">X72*CONVERT(1,"m","ft")</f>
        <v>722.88386352005796</v>
      </c>
      <c r="Y73" s="123">
        <f t="shared" si="237"/>
        <v>858.0573953068382</v>
      </c>
      <c r="Z73" s="123">
        <f t="shared" si="231"/>
        <v>484.41558341992533</v>
      </c>
      <c r="AA73" s="123">
        <f>AA72*CONVERT(1,"m","ft")</f>
        <v>602.99159372355746</v>
      </c>
      <c r="AB73" s="123">
        <f>AB72*CONVERT(1,"m","ft")</f>
        <v>737.84047997749826</v>
      </c>
      <c r="AC73" s="123">
        <f>AC72*CONVERT(1,"m","ft")</f>
        <v>889.81787674967711</v>
      </c>
      <c r="AD73" s="123">
        <f>AD72*CONVERT(1,"m","ft")</f>
        <v>1059.743611873181</v>
      </c>
      <c r="AE73" s="123">
        <f>AE72*CONVERT(1,"m","ft")</f>
        <v>405.98854756742912</v>
      </c>
      <c r="AF73" s="123">
        <f t="shared" ref="AF73" si="238">AF72*CONVERT(1,"m","ft")</f>
        <v>504.74819292839254</v>
      </c>
      <c r="AG73" s="123">
        <f t="shared" ref="AG73:AI73" si="239">AG72*CONVERT(1,"m","ft")</f>
        <v>617.0811787702188</v>
      </c>
      <c r="AH73" s="123">
        <f t="shared" si="239"/>
        <v>743.79702024358187</v>
      </c>
      <c r="AI73" s="123">
        <f t="shared" si="239"/>
        <v>885.71465986724456</v>
      </c>
      <c r="AJ73" s="124"/>
    </row>
    <row r="74" spans="1:36" x14ac:dyDescent="0.25">
      <c r="A74" s="82"/>
      <c r="B74" s="82" t="s">
        <v>403</v>
      </c>
      <c r="C74" s="11" t="s">
        <v>402</v>
      </c>
      <c r="D74" s="11" t="s">
        <v>398</v>
      </c>
      <c r="E74" s="16">
        <f>ASIN((E48-E50)/E16)</f>
        <v>0.28216556561273304</v>
      </c>
      <c r="F74" s="16">
        <f t="shared" ref="F74:AI74" si="240">ASIN((F48-F50)/F16)</f>
        <v>0.25147803536522534</v>
      </c>
      <c r="G74" s="16">
        <f t="shared" si="240"/>
        <v>0.22639035283442238</v>
      </c>
      <c r="H74" s="16">
        <f t="shared" si="240"/>
        <v>0.20555082416665515</v>
      </c>
      <c r="I74" s="16">
        <f t="shared" si="240"/>
        <v>0.18801337113872868</v>
      </c>
      <c r="J74" s="16">
        <f t="shared" si="240"/>
        <v>0.28703751347230205</v>
      </c>
      <c r="K74" s="16">
        <f t="shared" si="240"/>
        <v>0.25593293709528514</v>
      </c>
      <c r="L74" s="16">
        <f t="shared" si="240"/>
        <v>0.23044287481954706</v>
      </c>
      <c r="M74" s="16">
        <f t="shared" si="240"/>
        <v>0.20921229150020965</v>
      </c>
      <c r="N74" s="16">
        <f t="shared" si="240"/>
        <v>0.19129312550426669</v>
      </c>
      <c r="O74" s="16">
        <f t="shared" si="240"/>
        <v>0.18801337113872868</v>
      </c>
      <c r="P74" s="16">
        <f t="shared" si="240"/>
        <v>0.28216556561273304</v>
      </c>
      <c r="Q74" s="16">
        <f t="shared" si="240"/>
        <v>0.25147803536522534</v>
      </c>
      <c r="R74" s="16">
        <f t="shared" si="240"/>
        <v>0.22639035283442238</v>
      </c>
      <c r="S74" s="16">
        <f t="shared" si="240"/>
        <v>0.20555082416665515</v>
      </c>
      <c r="T74" s="16">
        <f t="shared" si="240"/>
        <v>0.18801337113872868</v>
      </c>
      <c r="U74" s="16">
        <f t="shared" si="240"/>
        <v>0.28847340656035492</v>
      </c>
      <c r="V74" s="16">
        <f t="shared" si="240"/>
        <v>0.25725878791535911</v>
      </c>
      <c r="W74" s="16">
        <f t="shared" si="240"/>
        <v>0.23166235252469208</v>
      </c>
      <c r="X74" s="16">
        <f t="shared" si="240"/>
        <v>0.21032819560636212</v>
      </c>
      <c r="Y74" s="16">
        <f t="shared" si="240"/>
        <v>0.19230775151574406</v>
      </c>
      <c r="Z74" s="16">
        <f t="shared" si="240"/>
        <v>0.28216556561273304</v>
      </c>
      <c r="AA74" s="16">
        <f>ASIN((AA48-AA50)/AA16)</f>
        <v>0.25147803536522534</v>
      </c>
      <c r="AB74" s="16">
        <f>ASIN((AB48-AB50)/AB16)</f>
        <v>0.22639035283442238</v>
      </c>
      <c r="AC74" s="16">
        <f>ASIN((AC48-AC50)/AC16)</f>
        <v>0.20555082416665515</v>
      </c>
      <c r="AD74" s="16">
        <f>ASIN((AD48-AD50)/AD16)</f>
        <v>0.18801337113872868</v>
      </c>
      <c r="AE74" s="16">
        <f>ASIN((AE48-AE50)/AE16)</f>
        <v>0.28847340656035492</v>
      </c>
      <c r="AF74" s="16">
        <f t="shared" si="240"/>
        <v>0.25725878791535911</v>
      </c>
      <c r="AG74" s="16">
        <f t="shared" si="240"/>
        <v>0.23166235252469208</v>
      </c>
      <c r="AH74" s="16">
        <f t="shared" si="240"/>
        <v>0.21032819560636212</v>
      </c>
      <c r="AI74" s="16">
        <f t="shared" si="240"/>
        <v>0.19230775151574406</v>
      </c>
      <c r="AJ74" s="10"/>
    </row>
    <row r="75" spans="1:36" x14ac:dyDescent="0.25">
      <c r="A75" s="82"/>
      <c r="B75" s="82"/>
      <c r="C75" s="11"/>
      <c r="D75" s="11" t="s">
        <v>127</v>
      </c>
      <c r="E75" s="16">
        <f>DEGREES(E74)</f>
        <v>16.166896033531316</v>
      </c>
      <c r="F75" s="16">
        <f t="shared" ref="F75:AI75" si="241">DEGREES(F74)</f>
        <v>14.408630066669069</v>
      </c>
      <c r="G75" s="16">
        <f t="shared" si="241"/>
        <v>12.971211739889977</v>
      </c>
      <c r="H75" s="16">
        <f t="shared" si="241"/>
        <v>11.777194700185028</v>
      </c>
      <c r="I75" s="16">
        <f t="shared" si="241"/>
        <v>10.772372658275915</v>
      </c>
      <c r="J75" s="16">
        <f t="shared" si="241"/>
        <v>16.446038083892415</v>
      </c>
      <c r="K75" s="16">
        <f t="shared" si="241"/>
        <v>14.663877133947025</v>
      </c>
      <c r="L75" s="16">
        <f t="shared" si="241"/>
        <v>13.203404146021599</v>
      </c>
      <c r="M75" s="16">
        <f t="shared" si="241"/>
        <v>11.986981325222718</v>
      </c>
      <c r="N75" s="16">
        <f t="shared" si="241"/>
        <v>10.960288741260849</v>
      </c>
      <c r="O75" s="16">
        <f t="shared" si="241"/>
        <v>10.772372658275915</v>
      </c>
      <c r="P75" s="16">
        <f t="shared" si="241"/>
        <v>16.166896033531316</v>
      </c>
      <c r="Q75" s="16">
        <f t="shared" si="241"/>
        <v>14.408630066669069</v>
      </c>
      <c r="R75" s="16">
        <f t="shared" si="241"/>
        <v>12.971211739889977</v>
      </c>
      <c r="S75" s="16">
        <f t="shared" si="241"/>
        <v>11.777194700185028</v>
      </c>
      <c r="T75" s="16">
        <f t="shared" si="241"/>
        <v>10.772372658275915</v>
      </c>
      <c r="U75" s="16">
        <f t="shared" si="241"/>
        <v>16.52830869766985</v>
      </c>
      <c r="V75" s="16">
        <f t="shared" si="241"/>
        <v>14.739842790201223</v>
      </c>
      <c r="W75" s="16">
        <f t="shared" si="241"/>
        <v>13.273275071736707</v>
      </c>
      <c r="X75" s="16">
        <f t="shared" si="241"/>
        <v>12.050917920846574</v>
      </c>
      <c r="Y75" s="16">
        <f t="shared" si="241"/>
        <v>11.018422529502695</v>
      </c>
      <c r="Z75" s="16">
        <f t="shared" si="241"/>
        <v>16.166896033531316</v>
      </c>
      <c r="AA75" s="16">
        <f>DEGREES(AA74)</f>
        <v>14.408630066669069</v>
      </c>
      <c r="AB75" s="16">
        <f>DEGREES(AB74)</f>
        <v>12.971211739889977</v>
      </c>
      <c r="AC75" s="16">
        <f>DEGREES(AC74)</f>
        <v>11.777194700185028</v>
      </c>
      <c r="AD75" s="16">
        <f>DEGREES(AD74)</f>
        <v>10.772372658275915</v>
      </c>
      <c r="AE75" s="16">
        <f>DEGREES(AE74)</f>
        <v>16.52830869766985</v>
      </c>
      <c r="AF75" s="16">
        <f t="shared" si="241"/>
        <v>14.739842790201223</v>
      </c>
      <c r="AG75" s="16">
        <f t="shared" si="241"/>
        <v>13.273275071736707</v>
      </c>
      <c r="AH75" s="16">
        <f t="shared" si="241"/>
        <v>12.050917920846574</v>
      </c>
      <c r="AI75" s="16">
        <f t="shared" si="241"/>
        <v>11.018422529502695</v>
      </c>
      <c r="AJ75" s="10"/>
    </row>
    <row r="76" spans="1:36" x14ac:dyDescent="0.25">
      <c r="A76" s="82"/>
      <c r="B76" s="82" t="s">
        <v>397</v>
      </c>
      <c r="C76" s="11"/>
      <c r="D76" s="11"/>
      <c r="E76" s="16">
        <v>1.1499999999999999</v>
      </c>
      <c r="F76" s="16">
        <v>1.1499999999999999</v>
      </c>
      <c r="G76" s="16">
        <v>1.1499999999999999</v>
      </c>
      <c r="H76" s="16">
        <v>1.1499999999999999</v>
      </c>
      <c r="I76" s="16">
        <v>1.1499999999999999</v>
      </c>
      <c r="J76" s="16">
        <v>1.1499999999999999</v>
      </c>
      <c r="K76" s="16">
        <v>1.1499999999999999</v>
      </c>
      <c r="L76" s="16">
        <v>1.1499999999999999</v>
      </c>
      <c r="M76" s="16">
        <v>1.1499999999999999</v>
      </c>
      <c r="N76" s="16">
        <v>1.1499999999999999</v>
      </c>
      <c r="O76" s="16">
        <v>1.1499999999999999</v>
      </c>
      <c r="P76" s="16">
        <v>1.1499999999999999</v>
      </c>
      <c r="Q76" s="16">
        <v>1.1499999999999999</v>
      </c>
      <c r="R76" s="16">
        <v>1.1499999999999999</v>
      </c>
      <c r="S76" s="16">
        <v>1.1499999999999999</v>
      </c>
      <c r="T76" s="16">
        <v>1.1499999999999999</v>
      </c>
      <c r="U76" s="16">
        <v>1.1499999999999999</v>
      </c>
      <c r="V76" s="16">
        <v>1.1499999999999999</v>
      </c>
      <c r="W76" s="16">
        <v>1.1499999999999999</v>
      </c>
      <c r="X76" s="16">
        <v>1.1499999999999999</v>
      </c>
      <c r="Y76" s="16">
        <v>1.1499999999999999</v>
      </c>
      <c r="Z76" s="16">
        <v>1.1499999999999999</v>
      </c>
      <c r="AA76" s="16">
        <v>1.1499999999999999</v>
      </c>
      <c r="AB76" s="16">
        <v>1.1499999999999999</v>
      </c>
      <c r="AC76" s="16">
        <v>1.1499999999999999</v>
      </c>
      <c r="AD76" s="16">
        <v>1.1499999999999999</v>
      </c>
      <c r="AE76" s="16">
        <v>1.1499999999999999</v>
      </c>
      <c r="AF76" s="16">
        <v>1.1499999999999999</v>
      </c>
      <c r="AG76" s="16">
        <v>1.1499999999999999</v>
      </c>
      <c r="AH76" s="16">
        <v>1.1499999999999999</v>
      </c>
      <c r="AI76" s="16">
        <v>1.1499999999999999</v>
      </c>
      <c r="AJ76" s="10"/>
    </row>
    <row r="77" spans="1:36" x14ac:dyDescent="0.25">
      <c r="A77" s="82"/>
      <c r="B77" s="82" t="s">
        <v>396</v>
      </c>
      <c r="C77" s="11"/>
      <c r="D77" s="11"/>
      <c r="E77" s="15">
        <f>E26^2/E3/(E76-1)</f>
        <v>502.48839331474085</v>
      </c>
      <c r="F77" s="15">
        <f t="shared" ref="F77:AI77" si="242">F26^2/F3/(F76-1)</f>
        <v>552.73723264621492</v>
      </c>
      <c r="G77" s="15">
        <f t="shared" si="242"/>
        <v>602.98607197768888</v>
      </c>
      <c r="H77" s="15">
        <f t="shared" si="242"/>
        <v>653.23491130916284</v>
      </c>
      <c r="I77" s="15">
        <f t="shared" si="242"/>
        <v>703.48375064063714</v>
      </c>
      <c r="J77" s="15">
        <f t="shared" si="242"/>
        <v>447.22425342697824</v>
      </c>
      <c r="K77" s="15">
        <f t="shared" si="242"/>
        <v>491.94667876967611</v>
      </c>
      <c r="L77" s="15">
        <f t="shared" si="242"/>
        <v>536.66910411237393</v>
      </c>
      <c r="M77" s="15">
        <f t="shared" si="242"/>
        <v>581.39152945507169</v>
      </c>
      <c r="N77" s="15">
        <f t="shared" si="242"/>
        <v>626.11395479776957</v>
      </c>
      <c r="O77" s="15">
        <f t="shared" si="242"/>
        <v>703.48375064063714</v>
      </c>
      <c r="P77" s="15">
        <f t="shared" si="242"/>
        <v>502.48839331474085</v>
      </c>
      <c r="Q77" s="15">
        <f t="shared" si="242"/>
        <v>552.73723264621492</v>
      </c>
      <c r="R77" s="15">
        <f t="shared" si="242"/>
        <v>602.98607197768888</v>
      </c>
      <c r="S77" s="15">
        <f t="shared" si="242"/>
        <v>653.23491130916284</v>
      </c>
      <c r="T77" s="15">
        <f t="shared" si="242"/>
        <v>703.48375064063714</v>
      </c>
      <c r="U77" s="15">
        <f t="shared" si="242"/>
        <v>431.58512309241536</v>
      </c>
      <c r="V77" s="15">
        <f t="shared" si="242"/>
        <v>474.74363540165683</v>
      </c>
      <c r="W77" s="15">
        <f t="shared" si="242"/>
        <v>517.90214771089836</v>
      </c>
      <c r="X77" s="15">
        <f t="shared" si="242"/>
        <v>561.06066002013995</v>
      </c>
      <c r="Y77" s="15">
        <f t="shared" si="242"/>
        <v>604.21917232938154</v>
      </c>
      <c r="Z77" s="15">
        <f t="shared" si="242"/>
        <v>502.48839331474085</v>
      </c>
      <c r="AA77" s="15">
        <f>AA26^2/AA3/(AA76-1)</f>
        <v>552.73723264621492</v>
      </c>
      <c r="AB77" s="15">
        <f>AB26^2/AB3/(AB76-1)</f>
        <v>602.98607197768888</v>
      </c>
      <c r="AC77" s="15">
        <f>AC26^2/AC3/(AC76-1)</f>
        <v>653.23491130916284</v>
      </c>
      <c r="AD77" s="15">
        <f>AD26^2/AD3/(AD76-1)</f>
        <v>703.48375064063714</v>
      </c>
      <c r="AE77" s="15">
        <f>AE26^2/AE3/(AE76-1)</f>
        <v>431.58512309241536</v>
      </c>
      <c r="AF77" s="15">
        <f t="shared" si="242"/>
        <v>474.74363540165683</v>
      </c>
      <c r="AG77" s="15">
        <f t="shared" si="242"/>
        <v>517.90214771089836</v>
      </c>
      <c r="AH77" s="15">
        <f t="shared" si="242"/>
        <v>561.06066002013995</v>
      </c>
      <c r="AI77" s="15">
        <f t="shared" si="242"/>
        <v>604.21917232938154</v>
      </c>
      <c r="AJ77" s="10"/>
    </row>
    <row r="78" spans="1:36" x14ac:dyDescent="0.25">
      <c r="A78" s="82"/>
      <c r="B78" s="82" t="s">
        <v>400</v>
      </c>
      <c r="C78" s="11" t="s">
        <v>392</v>
      </c>
      <c r="D78" s="11" t="s">
        <v>106</v>
      </c>
      <c r="E78" s="15">
        <f>E77*SIN(E74)</f>
        <v>139.91097261607709</v>
      </c>
      <c r="F78" s="15">
        <f t="shared" ref="F78:AI78" si="243">F77*SIN(F74)</f>
        <v>137.54079783392865</v>
      </c>
      <c r="G78" s="15">
        <f t="shared" si="243"/>
        <v>135.34713033939397</v>
      </c>
      <c r="H78" s="15">
        <f t="shared" si="243"/>
        <v>133.32943880478686</v>
      </c>
      <c r="I78" s="15">
        <f t="shared" si="243"/>
        <v>131.48649156441178</v>
      </c>
      <c r="J78" s="15">
        <f t="shared" si="243"/>
        <v>126.61463775588039</v>
      </c>
      <c r="K78" s="15">
        <f t="shared" si="243"/>
        <v>124.53535114891228</v>
      </c>
      <c r="L78" s="15">
        <f t="shared" si="243"/>
        <v>122.57989964150123</v>
      </c>
      <c r="M78" s="15">
        <f t="shared" si="243"/>
        <v>120.74887651521674</v>
      </c>
      <c r="N78" s="15">
        <f t="shared" si="243"/>
        <v>119.04216430783079</v>
      </c>
      <c r="O78" s="15">
        <f t="shared" si="243"/>
        <v>131.48649156441178</v>
      </c>
      <c r="P78" s="15">
        <f t="shared" si="243"/>
        <v>139.91097261607709</v>
      </c>
      <c r="Q78" s="15">
        <f t="shared" si="243"/>
        <v>137.54079783392865</v>
      </c>
      <c r="R78" s="15">
        <f t="shared" si="243"/>
        <v>135.34713033939397</v>
      </c>
      <c r="S78" s="15">
        <f t="shared" si="243"/>
        <v>133.32943880478686</v>
      </c>
      <c r="T78" s="15">
        <f t="shared" si="243"/>
        <v>131.48649156441178</v>
      </c>
      <c r="U78" s="15">
        <f t="shared" si="243"/>
        <v>122.78123892433281</v>
      </c>
      <c r="V78" s="15">
        <f t="shared" si="243"/>
        <v>120.78926500906907</v>
      </c>
      <c r="W78" s="15">
        <f t="shared" si="243"/>
        <v>118.90814994006583</v>
      </c>
      <c r="X78" s="15">
        <f t="shared" si="243"/>
        <v>117.13873500113434</v>
      </c>
      <c r="Y78" s="15">
        <f t="shared" si="243"/>
        <v>115.481154767299</v>
      </c>
      <c r="Z78" s="15">
        <f t="shared" si="243"/>
        <v>139.91097261607709</v>
      </c>
      <c r="AA78" s="15">
        <f>AA77*SIN(AA74)</f>
        <v>137.54079783392865</v>
      </c>
      <c r="AB78" s="15">
        <f>AB77*SIN(AB74)</f>
        <v>135.34713033939397</v>
      </c>
      <c r="AC78" s="15">
        <f>AC77*SIN(AC74)</f>
        <v>133.32943880478686</v>
      </c>
      <c r="AD78" s="15">
        <f>AD77*SIN(AD74)</f>
        <v>131.48649156441178</v>
      </c>
      <c r="AE78" s="15">
        <f>AE77*SIN(AE74)</f>
        <v>122.78123892433281</v>
      </c>
      <c r="AF78" s="15">
        <f t="shared" si="243"/>
        <v>120.78926500906907</v>
      </c>
      <c r="AG78" s="15">
        <f t="shared" si="243"/>
        <v>118.90814994006583</v>
      </c>
      <c r="AH78" s="15">
        <f t="shared" si="243"/>
        <v>117.13873500113434</v>
      </c>
      <c r="AI78" s="15">
        <f t="shared" si="243"/>
        <v>115.481154767299</v>
      </c>
      <c r="AJ78" s="10"/>
    </row>
    <row r="79" spans="1:36" x14ac:dyDescent="0.25">
      <c r="A79" s="82"/>
      <c r="B79" s="82"/>
      <c r="C79" s="11" t="s">
        <v>394</v>
      </c>
      <c r="D79" s="11" t="s">
        <v>100</v>
      </c>
      <c r="E79" s="15">
        <f t="shared" ref="E79" si="244">E78*CONVERT(1,"m","ft")</f>
        <v>459.02550070891436</v>
      </c>
      <c r="F79" s="15">
        <f t="shared" ref="F79:AI79" si="245">F78*CONVERT(1,"m","ft")</f>
        <v>451.24933672548769</v>
      </c>
      <c r="G79" s="15">
        <f t="shared" si="245"/>
        <v>444.05226489302487</v>
      </c>
      <c r="H79" s="15">
        <f t="shared" si="245"/>
        <v>437.43254201045562</v>
      </c>
      <c r="I79" s="15">
        <f t="shared" si="245"/>
        <v>431.38612717982869</v>
      </c>
      <c r="J79" s="15">
        <f t="shared" si="245"/>
        <v>415.40235484212729</v>
      </c>
      <c r="K79" s="15">
        <f t="shared" si="245"/>
        <v>408.58054838881986</v>
      </c>
      <c r="L79" s="15">
        <f t="shared" si="245"/>
        <v>402.16502507054207</v>
      </c>
      <c r="M79" s="15">
        <f t="shared" si="245"/>
        <v>396.15773134913627</v>
      </c>
      <c r="N79" s="15">
        <f t="shared" si="245"/>
        <v>390.55828184983858</v>
      </c>
      <c r="O79" s="15">
        <f t="shared" si="245"/>
        <v>431.38612717982869</v>
      </c>
      <c r="P79" s="15">
        <f t="shared" si="245"/>
        <v>459.02550070891436</v>
      </c>
      <c r="Q79" s="15">
        <f t="shared" si="245"/>
        <v>451.24933672548769</v>
      </c>
      <c r="R79" s="15">
        <f t="shared" si="245"/>
        <v>444.05226489302487</v>
      </c>
      <c r="S79" s="15">
        <f t="shared" si="245"/>
        <v>437.43254201045562</v>
      </c>
      <c r="T79" s="15">
        <f t="shared" si="245"/>
        <v>431.38612717982869</v>
      </c>
      <c r="U79" s="15">
        <f t="shared" si="245"/>
        <v>402.82558702208928</v>
      </c>
      <c r="V79" s="15">
        <f t="shared" si="245"/>
        <v>396.2902395310665</v>
      </c>
      <c r="W79" s="15">
        <f t="shared" si="245"/>
        <v>390.11860216557028</v>
      </c>
      <c r="X79" s="15">
        <f t="shared" si="245"/>
        <v>384.31343504309166</v>
      </c>
      <c r="Y79" s="15">
        <f t="shared" si="245"/>
        <v>378.87517968273954</v>
      </c>
      <c r="Z79" s="15">
        <f t="shared" si="245"/>
        <v>459.02550070891436</v>
      </c>
      <c r="AA79" s="15">
        <f>AA78*CONVERT(1,"m","ft")</f>
        <v>451.24933672548769</v>
      </c>
      <c r="AB79" s="15">
        <f>AB78*CONVERT(1,"m","ft")</f>
        <v>444.05226489302487</v>
      </c>
      <c r="AC79" s="15">
        <f>AC78*CONVERT(1,"m","ft")</f>
        <v>437.43254201045562</v>
      </c>
      <c r="AD79" s="15">
        <f>AD78*CONVERT(1,"m","ft")</f>
        <v>431.38612717982869</v>
      </c>
      <c r="AE79" s="15">
        <f>AE78*CONVERT(1,"m","ft")</f>
        <v>402.82558702208928</v>
      </c>
      <c r="AF79" s="15">
        <f t="shared" si="245"/>
        <v>396.2902395310665</v>
      </c>
      <c r="AG79" s="15">
        <f t="shared" si="245"/>
        <v>390.11860216557028</v>
      </c>
      <c r="AH79" s="15">
        <f t="shared" si="245"/>
        <v>384.31343504309166</v>
      </c>
      <c r="AI79" s="15">
        <f t="shared" si="245"/>
        <v>378.87517968273954</v>
      </c>
      <c r="AJ79" s="10"/>
    </row>
    <row r="80" spans="1:36" x14ac:dyDescent="0.25">
      <c r="A80" s="82"/>
      <c r="B80" s="82" t="s">
        <v>399</v>
      </c>
      <c r="C80" s="11" t="s">
        <v>401</v>
      </c>
      <c r="D80" s="11" t="s">
        <v>106</v>
      </c>
      <c r="E80" s="15">
        <f>E77*(1-COS(E74))</f>
        <v>19.871044727215398</v>
      </c>
      <c r="F80" s="15">
        <f t="shared" ref="F80:AI80" si="246">F77*(1-COS(F74))</f>
        <v>17.385967321659738</v>
      </c>
      <c r="G80" s="15">
        <f t="shared" si="246"/>
        <v>15.386414636082097</v>
      </c>
      <c r="H80" s="15">
        <f t="shared" si="246"/>
        <v>13.751439981646483</v>
      </c>
      <c r="I80" s="15">
        <f t="shared" si="246"/>
        <v>12.397149734860674</v>
      </c>
      <c r="J80" s="15">
        <f t="shared" si="246"/>
        <v>18.297375790165596</v>
      </c>
      <c r="K80" s="15">
        <f t="shared" si="246"/>
        <v>16.023910805448523</v>
      </c>
      <c r="L80" s="15">
        <f t="shared" si="246"/>
        <v>14.186668510317027</v>
      </c>
      <c r="M80" s="15">
        <f t="shared" si="246"/>
        <v>12.677348743512116</v>
      </c>
      <c r="N80" s="15">
        <f t="shared" si="246"/>
        <v>11.420821999451341</v>
      </c>
      <c r="O80" s="15">
        <f t="shared" si="246"/>
        <v>12.397149734860674</v>
      </c>
      <c r="P80" s="15">
        <f t="shared" si="246"/>
        <v>19.871044727215398</v>
      </c>
      <c r="Q80" s="15">
        <f t="shared" si="246"/>
        <v>17.385967321659738</v>
      </c>
      <c r="R80" s="15">
        <f t="shared" si="246"/>
        <v>15.386414636082097</v>
      </c>
      <c r="S80" s="15">
        <f t="shared" si="246"/>
        <v>13.751439981646483</v>
      </c>
      <c r="T80" s="15">
        <f t="shared" si="246"/>
        <v>12.397149734860674</v>
      </c>
      <c r="U80" s="15">
        <f t="shared" si="246"/>
        <v>17.833403044146269</v>
      </c>
      <c r="V80" s="15">
        <f t="shared" si="246"/>
        <v>15.623310418161727</v>
      </c>
      <c r="W80" s="15">
        <f t="shared" si="246"/>
        <v>13.835201282755762</v>
      </c>
      <c r="X80" s="15">
        <f t="shared" si="246"/>
        <v>12.364404351697219</v>
      </c>
      <c r="Y80" s="15">
        <f t="shared" si="246"/>
        <v>11.138308446543073</v>
      </c>
      <c r="Z80" s="15">
        <f t="shared" si="246"/>
        <v>19.871044727215398</v>
      </c>
      <c r="AA80" s="15">
        <f>AA77*(1-COS(AA74))</f>
        <v>17.385967321659738</v>
      </c>
      <c r="AB80" s="15">
        <f>AB77*(1-COS(AB74))</f>
        <v>15.386414636082097</v>
      </c>
      <c r="AC80" s="15">
        <f>AC77*(1-COS(AC74))</f>
        <v>13.751439981646483</v>
      </c>
      <c r="AD80" s="15">
        <f>AD77*(1-COS(AD74))</f>
        <v>12.397149734860674</v>
      </c>
      <c r="AE80" s="15">
        <f>AE77*(1-COS(AE74))</f>
        <v>17.833403044146269</v>
      </c>
      <c r="AF80" s="15">
        <f t="shared" si="246"/>
        <v>15.623310418161727</v>
      </c>
      <c r="AG80" s="15">
        <f t="shared" si="246"/>
        <v>13.835201282755762</v>
      </c>
      <c r="AH80" s="15">
        <f t="shared" si="246"/>
        <v>12.364404351697219</v>
      </c>
      <c r="AI80" s="15">
        <f t="shared" si="246"/>
        <v>11.138308446543073</v>
      </c>
      <c r="AJ80" s="10"/>
    </row>
    <row r="81" spans="1:36" x14ac:dyDescent="0.25">
      <c r="A81" s="82"/>
      <c r="B81" s="82"/>
      <c r="C81" s="11"/>
      <c r="D81" s="11" t="s">
        <v>100</v>
      </c>
      <c r="E81" s="15">
        <f t="shared" ref="E81" si="247">E80*CONVERT(1,"m","ft")</f>
        <v>65.193716296638442</v>
      </c>
      <c r="F81" s="15">
        <f t="shared" ref="F81:AI81" si="248">F80*CONVERT(1,"m","ft")</f>
        <v>57.040575202295727</v>
      </c>
      <c r="G81" s="15">
        <f t="shared" si="248"/>
        <v>50.480362979271973</v>
      </c>
      <c r="H81" s="15">
        <f t="shared" si="248"/>
        <v>45.116272905664317</v>
      </c>
      <c r="I81" s="15">
        <f t="shared" si="248"/>
        <v>40.673063434582268</v>
      </c>
      <c r="J81" s="15">
        <f t="shared" si="248"/>
        <v>60.030760466422564</v>
      </c>
      <c r="K81" s="15">
        <f t="shared" si="248"/>
        <v>52.571885844647383</v>
      </c>
      <c r="L81" s="15">
        <f t="shared" si="248"/>
        <v>46.544188025974499</v>
      </c>
      <c r="M81" s="15">
        <f t="shared" si="248"/>
        <v>41.592351520709045</v>
      </c>
      <c r="N81" s="15">
        <f t="shared" si="248"/>
        <v>37.469888449643513</v>
      </c>
      <c r="O81" s="15">
        <f t="shared" si="248"/>
        <v>40.673063434582268</v>
      </c>
      <c r="P81" s="15">
        <f t="shared" si="248"/>
        <v>65.193716296638442</v>
      </c>
      <c r="Q81" s="15">
        <f t="shared" si="248"/>
        <v>57.040575202295727</v>
      </c>
      <c r="R81" s="15">
        <f t="shared" si="248"/>
        <v>50.480362979271973</v>
      </c>
      <c r="S81" s="15">
        <f t="shared" si="248"/>
        <v>45.116272905664317</v>
      </c>
      <c r="T81" s="15">
        <f t="shared" si="248"/>
        <v>40.673063434582268</v>
      </c>
      <c r="U81" s="15">
        <f t="shared" si="248"/>
        <v>58.50854017108356</v>
      </c>
      <c r="V81" s="15">
        <f t="shared" si="248"/>
        <v>51.257580112079161</v>
      </c>
      <c r="W81" s="15">
        <f t="shared" si="248"/>
        <v>45.391080324001841</v>
      </c>
      <c r="X81" s="15">
        <f t="shared" si="248"/>
        <v>40.565631075122113</v>
      </c>
      <c r="Y81" s="15">
        <f t="shared" si="248"/>
        <v>36.543006714380162</v>
      </c>
      <c r="Z81" s="15">
        <f t="shared" si="248"/>
        <v>65.193716296638442</v>
      </c>
      <c r="AA81" s="15">
        <f>AA80*CONVERT(1,"m","ft")</f>
        <v>57.040575202295727</v>
      </c>
      <c r="AB81" s="15">
        <f>AB80*CONVERT(1,"m","ft")</f>
        <v>50.480362979271973</v>
      </c>
      <c r="AC81" s="15">
        <f>AC80*CONVERT(1,"m","ft")</f>
        <v>45.116272905664317</v>
      </c>
      <c r="AD81" s="15">
        <f>AD80*CONVERT(1,"m","ft")</f>
        <v>40.673063434582268</v>
      </c>
      <c r="AE81" s="15">
        <f>AE80*CONVERT(1,"m","ft")</f>
        <v>58.50854017108356</v>
      </c>
      <c r="AF81" s="15">
        <f t="shared" si="248"/>
        <v>51.257580112079161</v>
      </c>
      <c r="AG81" s="15">
        <f t="shared" si="248"/>
        <v>45.391080324001841</v>
      </c>
      <c r="AH81" s="15">
        <f t="shared" si="248"/>
        <v>40.565631075122113</v>
      </c>
      <c r="AI81" s="15">
        <f t="shared" si="248"/>
        <v>36.543006714380162</v>
      </c>
      <c r="AJ81" s="10"/>
    </row>
    <row r="82" spans="1:36" x14ac:dyDescent="0.25">
      <c r="A82" s="82"/>
      <c r="B82" s="82" t="s">
        <v>391</v>
      </c>
      <c r="C82" s="11" t="s">
        <v>393</v>
      </c>
      <c r="D82" s="11" t="s">
        <v>106</v>
      </c>
      <c r="E82" s="15">
        <f>(50-E80)/TAN(E74)</f>
        <v>103.92863574298805</v>
      </c>
      <c r="F82" s="15">
        <f t="shared" ref="F82:AI82" si="249">(50-F80)/TAN(F74)</f>
        <v>126.94388818921638</v>
      </c>
      <c r="G82" s="15">
        <f t="shared" si="249"/>
        <v>150.27234672948802</v>
      </c>
      <c r="H82" s="15">
        <f t="shared" si="249"/>
        <v>173.85774063820847</v>
      </c>
      <c r="I82" s="15">
        <f t="shared" si="249"/>
        <v>197.63875106039882</v>
      </c>
      <c r="J82" s="15">
        <f t="shared" si="249"/>
        <v>107.39759522461655</v>
      </c>
      <c r="K82" s="15">
        <f t="shared" si="249"/>
        <v>129.84260505063551</v>
      </c>
      <c r="L82" s="15">
        <f t="shared" si="249"/>
        <v>152.65012223438168</v>
      </c>
      <c r="M82" s="15">
        <f t="shared" si="249"/>
        <v>175.78566065284991</v>
      </c>
      <c r="N82" s="15">
        <f t="shared" si="249"/>
        <v>199.20971635410061</v>
      </c>
      <c r="O82" s="15">
        <f t="shared" si="249"/>
        <v>197.63875106039882</v>
      </c>
      <c r="P82" s="15">
        <f t="shared" si="249"/>
        <v>103.92863574298805</v>
      </c>
      <c r="Q82" s="15">
        <f t="shared" si="249"/>
        <v>126.94388818921638</v>
      </c>
      <c r="R82" s="15">
        <f t="shared" si="249"/>
        <v>150.27234672948802</v>
      </c>
      <c r="S82" s="15">
        <f t="shared" si="249"/>
        <v>173.85774063820847</v>
      </c>
      <c r="T82" s="15">
        <f t="shared" si="249"/>
        <v>197.63875106039882</v>
      </c>
      <c r="U82" s="15">
        <f t="shared" si="249"/>
        <v>108.39591565602225</v>
      </c>
      <c r="V82" s="15">
        <f t="shared" si="249"/>
        <v>130.6658906442166</v>
      </c>
      <c r="W82" s="15">
        <f t="shared" si="249"/>
        <v>153.30723475874493</v>
      </c>
      <c r="X82" s="15">
        <f t="shared" si="249"/>
        <v>176.29104848942839</v>
      </c>
      <c r="Y82" s="15">
        <f t="shared" si="249"/>
        <v>199.58343545244162</v>
      </c>
      <c r="Z82" s="15">
        <f t="shared" si="249"/>
        <v>103.92863574298805</v>
      </c>
      <c r="AA82" s="15">
        <f>(50-AA80)/TAN(AA74)</f>
        <v>126.94388818921638</v>
      </c>
      <c r="AB82" s="15">
        <f>(50-AB80)/TAN(AB74)</f>
        <v>150.27234672948802</v>
      </c>
      <c r="AC82" s="15">
        <f>(50-AC80)/TAN(AC74)</f>
        <v>173.85774063820847</v>
      </c>
      <c r="AD82" s="15">
        <f>(50-AD80)/TAN(AD74)</f>
        <v>197.63875106039882</v>
      </c>
      <c r="AE82" s="15">
        <f>(50-AE80)/TAN(AE74)</f>
        <v>108.39591565602225</v>
      </c>
      <c r="AF82" s="15">
        <f t="shared" si="249"/>
        <v>130.6658906442166</v>
      </c>
      <c r="AG82" s="15">
        <f t="shared" si="249"/>
        <v>153.30723475874493</v>
      </c>
      <c r="AH82" s="15">
        <f t="shared" si="249"/>
        <v>176.29104848942839</v>
      </c>
      <c r="AI82" s="15">
        <f t="shared" si="249"/>
        <v>199.58343545244162</v>
      </c>
      <c r="AJ82" s="10"/>
    </row>
    <row r="83" spans="1:36" x14ac:dyDescent="0.25">
      <c r="A83" s="82"/>
      <c r="B83" s="82"/>
      <c r="C83" s="11" t="s">
        <v>395</v>
      </c>
      <c r="D83" s="11" t="s">
        <v>100</v>
      </c>
      <c r="E83" s="15">
        <f t="shared" ref="E83" si="250">E82*CONVERT(1,"m","ft")</f>
        <v>340.97321437988205</v>
      </c>
      <c r="F83" s="15">
        <f t="shared" ref="F83:AI83" si="251">F82*CONVERT(1,"m","ft")</f>
        <v>416.48257279926634</v>
      </c>
      <c r="G83" s="15">
        <f t="shared" si="251"/>
        <v>493.01951026734918</v>
      </c>
      <c r="H83" s="15">
        <f t="shared" si="251"/>
        <v>570.39941154267876</v>
      </c>
      <c r="I83" s="15">
        <f t="shared" si="251"/>
        <v>648.42109927952367</v>
      </c>
      <c r="J83" s="15">
        <f t="shared" si="251"/>
        <v>352.35431504139291</v>
      </c>
      <c r="K83" s="15">
        <f t="shared" si="251"/>
        <v>425.9927987225575</v>
      </c>
      <c r="L83" s="15">
        <f t="shared" si="251"/>
        <v>500.82061100518928</v>
      </c>
      <c r="M83" s="15">
        <f t="shared" si="251"/>
        <v>576.72460844110867</v>
      </c>
      <c r="N83" s="15">
        <f t="shared" si="251"/>
        <v>653.57518488878156</v>
      </c>
      <c r="O83" s="15">
        <f t="shared" si="251"/>
        <v>648.42109927952367</v>
      </c>
      <c r="P83" s="15">
        <f t="shared" si="251"/>
        <v>340.97321437988205</v>
      </c>
      <c r="Q83" s="15">
        <f t="shared" si="251"/>
        <v>416.48257279926634</v>
      </c>
      <c r="R83" s="15">
        <f t="shared" si="251"/>
        <v>493.01951026734918</v>
      </c>
      <c r="S83" s="15">
        <f t="shared" si="251"/>
        <v>570.39941154267876</v>
      </c>
      <c r="T83" s="15">
        <f t="shared" si="251"/>
        <v>648.42109927952367</v>
      </c>
      <c r="U83" s="15">
        <f t="shared" si="251"/>
        <v>355.62964454075546</v>
      </c>
      <c r="V83" s="15">
        <f t="shared" si="251"/>
        <v>428.69386694296787</v>
      </c>
      <c r="W83" s="15">
        <f t="shared" si="251"/>
        <v>502.97649199063295</v>
      </c>
      <c r="X83" s="15">
        <f t="shared" si="251"/>
        <v>578.38270501780971</v>
      </c>
      <c r="Y83" s="15">
        <f t="shared" si="251"/>
        <v>654.80129741614712</v>
      </c>
      <c r="Z83" s="15">
        <f t="shared" si="251"/>
        <v>340.97321437988205</v>
      </c>
      <c r="AA83" s="15">
        <f>AA82*CONVERT(1,"m","ft")</f>
        <v>416.48257279926634</v>
      </c>
      <c r="AB83" s="15">
        <f>AB82*CONVERT(1,"m","ft")</f>
        <v>493.01951026734918</v>
      </c>
      <c r="AC83" s="15">
        <f>AC82*CONVERT(1,"m","ft")</f>
        <v>570.39941154267876</v>
      </c>
      <c r="AD83" s="15">
        <f>AD82*CONVERT(1,"m","ft")</f>
        <v>648.42109927952367</v>
      </c>
      <c r="AE83" s="15">
        <f>AE82*CONVERT(1,"m","ft")</f>
        <v>355.62964454075546</v>
      </c>
      <c r="AF83" s="15">
        <f t="shared" si="251"/>
        <v>428.69386694296787</v>
      </c>
      <c r="AG83" s="15">
        <f t="shared" si="251"/>
        <v>502.97649199063295</v>
      </c>
      <c r="AH83" s="15">
        <f t="shared" si="251"/>
        <v>578.38270501780971</v>
      </c>
      <c r="AI83" s="15">
        <f t="shared" si="251"/>
        <v>654.80129741614712</v>
      </c>
      <c r="AJ83" s="10"/>
    </row>
    <row r="84" spans="1:36" x14ac:dyDescent="0.25">
      <c r="A84" s="82"/>
      <c r="B84" s="82" t="s">
        <v>404</v>
      </c>
      <c r="C84" s="11" t="s">
        <v>405</v>
      </c>
      <c r="D84" s="11" t="s">
        <v>106</v>
      </c>
      <c r="E84" s="15">
        <f>E72+E78+E82</f>
        <v>384.31416892752372</v>
      </c>
      <c r="F84" s="15">
        <f t="shared" ref="F84:AI84" si="252">F72+F78+F82</f>
        <v>438.18136386823574</v>
      </c>
      <c r="G84" s="15">
        <f t="shared" si="252"/>
        <v>496.67560298705052</v>
      </c>
      <c r="H84" s="15">
        <f t="shared" si="252"/>
        <v>559.85268338372623</v>
      </c>
      <c r="I84" s="15">
        <f t="shared" si="252"/>
        <v>627.73885855044864</v>
      </c>
      <c r="J84" s="15">
        <f t="shared" si="252"/>
        <v>356.80864100536178</v>
      </c>
      <c r="K84" s="15">
        <f t="shared" si="252"/>
        <v>406.10649066624023</v>
      </c>
      <c r="L84" s="15">
        <f t="shared" si="252"/>
        <v>459.51160792457051</v>
      </c>
      <c r="M84" s="15">
        <f t="shared" si="252"/>
        <v>517.11291859738026</v>
      </c>
      <c r="N84" s="15">
        <f t="shared" si="252"/>
        <v>578.98035461612028</v>
      </c>
      <c r="O84" s="15">
        <f t="shared" si="252"/>
        <v>627.73885855044864</v>
      </c>
      <c r="P84" s="15">
        <f t="shared" si="252"/>
        <v>388.50291436557603</v>
      </c>
      <c r="Q84" s="15">
        <f t="shared" si="252"/>
        <v>444.05225332215343</v>
      </c>
      <c r="R84" s="15">
        <f t="shared" si="252"/>
        <v>504.69059079128681</v>
      </c>
      <c r="S84" s="15">
        <f t="shared" si="252"/>
        <v>570.55202541148765</v>
      </c>
      <c r="T84" s="15">
        <f t="shared" si="252"/>
        <v>641.74635195849089</v>
      </c>
      <c r="U84" s="15">
        <f t="shared" si="252"/>
        <v>352.48343303194508</v>
      </c>
      <c r="V84" s="15">
        <f t="shared" si="252"/>
        <v>401.86177532904082</v>
      </c>
      <c r="W84" s="15">
        <f t="shared" si="252"/>
        <v>455.56864298737196</v>
      </c>
      <c r="X84" s="15">
        <f t="shared" si="252"/>
        <v>513.76478509147637</v>
      </c>
      <c r="Y84" s="15">
        <f t="shared" si="252"/>
        <v>576.60048430926486</v>
      </c>
      <c r="Z84" s="15">
        <f t="shared" si="252"/>
        <v>391.48947818545832</v>
      </c>
      <c r="AA84" s="15">
        <f>AA72+AA78+AA82</f>
        <v>448.27652379008532</v>
      </c>
      <c r="AB84" s="15">
        <f>AB72+AB78+AB82</f>
        <v>510.51325536602349</v>
      </c>
      <c r="AC84" s="15">
        <f>AC72+AC78+AC82</f>
        <v>578.40366827629691</v>
      </c>
      <c r="AD84" s="15">
        <f>AD72+AD78+AD82</f>
        <v>652.13509552375615</v>
      </c>
      <c r="AE84" s="15">
        <f>AE72+AE78+AE82</f>
        <v>354.92246387890748</v>
      </c>
      <c r="AF84" s="15">
        <f t="shared" si="252"/>
        <v>405.30240485785976</v>
      </c>
      <c r="AG84" s="15">
        <f t="shared" si="252"/>
        <v>460.30172798797344</v>
      </c>
      <c r="AH84" s="15">
        <f t="shared" si="252"/>
        <v>520.13911526080642</v>
      </c>
      <c r="AI84" s="15">
        <f t="shared" si="252"/>
        <v>585.03041854727678</v>
      </c>
      <c r="AJ84" s="10"/>
    </row>
    <row r="85" spans="1:36" s="13" customFormat="1" x14ac:dyDescent="0.25">
      <c r="A85" s="125"/>
      <c r="B85" s="125"/>
      <c r="C85" s="70" t="s">
        <v>406</v>
      </c>
      <c r="D85" s="70" t="s">
        <v>100</v>
      </c>
      <c r="E85" s="122">
        <f>E73+E79+E83</f>
        <v>1260.8732576362329</v>
      </c>
      <c r="F85" s="122">
        <f t="shared" ref="F85:AI85" si="253">F73+F79+F83</f>
        <v>1437.6028998301697</v>
      </c>
      <c r="G85" s="122">
        <f t="shared" si="253"/>
        <v>1629.5131331596147</v>
      </c>
      <c r="H85" s="122">
        <f t="shared" si="253"/>
        <v>1836.7870189754799</v>
      </c>
      <c r="I85" s="122">
        <f t="shared" si="253"/>
        <v>2059.5106907823119</v>
      </c>
      <c r="J85" s="122">
        <f t="shared" si="253"/>
        <v>1170.6320242958066</v>
      </c>
      <c r="K85" s="122">
        <f t="shared" si="253"/>
        <v>1332.3703762015757</v>
      </c>
      <c r="L85" s="122">
        <f t="shared" si="253"/>
        <v>1507.5840155005594</v>
      </c>
      <c r="M85" s="122">
        <f t="shared" si="253"/>
        <v>1696.5646935609589</v>
      </c>
      <c r="N85" s="122">
        <f t="shared" si="253"/>
        <v>1899.5418458534132</v>
      </c>
      <c r="O85" s="122">
        <f t="shared" si="253"/>
        <v>2059.5106907823119</v>
      </c>
      <c r="P85" s="122">
        <f t="shared" si="253"/>
        <v>1274.6158607794491</v>
      </c>
      <c r="Q85" s="122">
        <f t="shared" si="253"/>
        <v>1456.8643481697948</v>
      </c>
      <c r="R85" s="122">
        <f t="shared" si="253"/>
        <v>1655.8090249057968</v>
      </c>
      <c r="S85" s="122">
        <f t="shared" si="253"/>
        <v>1871.8898471505502</v>
      </c>
      <c r="T85" s="122">
        <f t="shared" si="253"/>
        <v>2105.4670339845502</v>
      </c>
      <c r="U85" s="122">
        <f t="shared" si="253"/>
        <v>1156.441709422392</v>
      </c>
      <c r="V85" s="122">
        <f t="shared" si="253"/>
        <v>1318.4441447803176</v>
      </c>
      <c r="W85" s="122">
        <f t="shared" si="253"/>
        <v>1494.6477788299603</v>
      </c>
      <c r="X85" s="122">
        <f t="shared" si="253"/>
        <v>1685.5800035809593</v>
      </c>
      <c r="Y85" s="122">
        <f t="shared" si="253"/>
        <v>1891.7338724057249</v>
      </c>
      <c r="Z85" s="122">
        <f t="shared" si="253"/>
        <v>1284.4142985087219</v>
      </c>
      <c r="AA85" s="122">
        <f>AA73+AA79+AA83</f>
        <v>1470.7235032483115</v>
      </c>
      <c r="AB85" s="122">
        <f>AB73+AB79+AB83</f>
        <v>1674.9122551378723</v>
      </c>
      <c r="AC85" s="122">
        <f>AC73+AC79+AC83</f>
        <v>1897.6498303028116</v>
      </c>
      <c r="AD85" s="122">
        <f>AD73+AD79+AD83</f>
        <v>2139.5508383325332</v>
      </c>
      <c r="AE85" s="122">
        <f>AE73+AE79+AE83</f>
        <v>1164.4437791302739</v>
      </c>
      <c r="AF85" s="122">
        <f t="shared" si="253"/>
        <v>1329.7322994024269</v>
      </c>
      <c r="AG85" s="122">
        <f t="shared" si="253"/>
        <v>1510.1762729264219</v>
      </c>
      <c r="AH85" s="122">
        <f t="shared" si="253"/>
        <v>1706.4931603044834</v>
      </c>
      <c r="AI85" s="122">
        <f t="shared" si="253"/>
        <v>1919.3911369661314</v>
      </c>
      <c r="AJ85" s="124"/>
    </row>
    <row r="86" spans="1:36" x14ac:dyDescent="0.25">
      <c r="A86" s="87" t="s">
        <v>156</v>
      </c>
      <c r="B86" s="87" t="s">
        <v>164</v>
      </c>
      <c r="C86" s="11" t="s">
        <v>157</v>
      </c>
      <c r="D86" s="11" t="s">
        <v>106</v>
      </c>
      <c r="E86" s="15">
        <f>1/(2*E3*E55)*LN((E54+E55*E59^2)/(E54+E55*E58^2))</f>
        <v>236.40611903527656</v>
      </c>
      <c r="F86" s="15">
        <f>1/(2*F3*F55)*LN((F54+F55*F59^2)/(F54+F55*F58^2))</f>
        <v>260.04673093880405</v>
      </c>
      <c r="G86" s="15">
        <f>1/(2*G3*G55)*LN((G54+G55*G59^2)/(G54+G55*G58^2))</f>
        <v>283.68734284233142</v>
      </c>
      <c r="H86" s="15">
        <f>1/(2*H3*H55)*LN((H54+H55*H59^2)/(H54+H55*H58^2))</f>
        <v>307.32795474585885</v>
      </c>
      <c r="I86" s="15">
        <f>1/(2*I3*I55)*LN((I54+I55*I59^2)/(I54+I55*I58^2))</f>
        <v>330.96856664938679</v>
      </c>
      <c r="J86" s="15">
        <f>1/(2*J3*J55)*LN((J54+J55*J59^2)/(J54+J55*J58^2))</f>
        <v>197.4342508519459</v>
      </c>
      <c r="K86" s="15">
        <f>1/(2*K3*K55)*LN((K54+K55*K59^2)/(K54+K55*K58^2))</f>
        <v>217.17767593714046</v>
      </c>
      <c r="L86" s="15">
        <f>1/(2*L3*L55)*LN((L54+L55*L59^2)/(L54+L55*L58^2))</f>
        <v>236.92110102233522</v>
      </c>
      <c r="M86" s="15">
        <f>1/(2*M3*M55)*LN((M54+M55*M59^2)/(M54+M55*M58^2))</f>
        <v>256.66452610752958</v>
      </c>
      <c r="N86" s="15">
        <f>1/(2*N3*N55)*LN((N54+N55*N59^2)/(N54+N55*N58^2))</f>
        <v>276.40795119272411</v>
      </c>
      <c r="O86" s="15">
        <f>1/(2*O3*O55)*LN((O54+O55*O59^2)/(O54+O55*O58^2))</f>
        <v>307.32795474585885</v>
      </c>
      <c r="P86" s="78">
        <f>1/(2*P3*P55)*LN((P54+P55*P59^2)/(P54+P55*P58^2))</f>
        <v>238.93075403465849</v>
      </c>
      <c r="Q86" s="78">
        <f>1/(2*Q3*Q55)*LN((Q54+Q55*Q59^2)/(Q54+Q55*Q58^2))</f>
        <v>262.82382943812416</v>
      </c>
      <c r="R86" s="78">
        <f>1/(2*R3*R55)*LN((R54+R55*R59^2)/(R54+R55*R58^2))</f>
        <v>286.71690484158984</v>
      </c>
      <c r="S86" s="78">
        <f>1/(2*S3*S55)*LN((S54+S55*S59^2)/(S54+S55*S58^2))</f>
        <v>310.60998024505568</v>
      </c>
      <c r="T86" s="78">
        <f>1/(2*T3*T55)*LN((T54+T55*T59^2)/(T54+T55*T58^2))</f>
        <v>334.50305564852169</v>
      </c>
      <c r="U86" s="78">
        <f>1/(2*U3*U55)*LN((U54+U55*U59^2)/(U54+U55*U58^2))</f>
        <v>189.89380393920129</v>
      </c>
      <c r="V86" s="78">
        <f>1/(2*V3*V55)*LN((V54+V55*V59^2)/(V54+V55*V58^2))</f>
        <v>208.88318433312119</v>
      </c>
      <c r="W86" s="78">
        <f>1/(2*W3*W55)*LN((W54+W55*W59^2)/(W54+W55*W58^2))</f>
        <v>227.87256472704144</v>
      </c>
      <c r="X86" s="78">
        <f>1/(2*X3*X55)*LN((X54+X55*X59^2)/(X54+X55*X58^2))</f>
        <v>246.86194512096145</v>
      </c>
      <c r="Y86" s="78">
        <f>1/(2*Y3*Y55)*LN((Y54+Y55*Y59^2)/(Y54+Y55*Y58^2))</f>
        <v>265.85132551488186</v>
      </c>
      <c r="Z86" s="78">
        <f>1/(2*Z3*Z55)*LN((Z54+Z55*Z59^2)/(Z54+Z55*Z58^2))</f>
        <v>260.1502940097854</v>
      </c>
      <c r="AA86" s="78">
        <f>1/(2*AA3*AA55)*LN((AA54+AA55*AA59^2)/(AA54+AA55*AA58^2))</f>
        <v>286.16532341076379</v>
      </c>
      <c r="AB86" s="78">
        <f>1/(2*AB3*AB55)*LN((AB54+AB55*AB59^2)/(AB54+AB55*AB58^2))</f>
        <v>312.18035281174218</v>
      </c>
      <c r="AC86" s="78">
        <f>1/(2*AC3*AC55)*LN((AC54+AC55*AC59^2)/(AC54+AC55*AC58^2))</f>
        <v>338.19538221272074</v>
      </c>
      <c r="AD86" s="78">
        <f>1/(2*AD3*AD55)*LN((AD54+AD55*AD59^2)/(AD54+AD55*AD58^2))</f>
        <v>364.21041161369942</v>
      </c>
      <c r="AE86" s="78">
        <f>1/(2*AE3*AE55)*LN((AE54+AE55*AE59^2)/(AE54+AE55*AE58^2))</f>
        <v>209.37993673663107</v>
      </c>
      <c r="AF86" s="78">
        <f>1/(2*AF3*AF55)*LN((AF54+AF55*AF59^2)/(AF54+AF55*AF58^2))</f>
        <v>230.31793041029411</v>
      </c>
      <c r="AG86" s="78">
        <f>1/(2*AG3*AG55)*LN((AG54+AG55*AG59^2)/(AG54+AG55*AG58^2))</f>
        <v>251.25592408395721</v>
      </c>
      <c r="AH86" s="78">
        <f>1/(2*AH3*AH55)*LN((AH54+AH55*AH59^2)/(AH54+AH55*AH58^2))</f>
        <v>272.19391775762028</v>
      </c>
      <c r="AI86" s="78">
        <f>1/(2*AI3*AI55)*LN((AI54+AI55*AI59^2)/(AI54+AI55*AI58^2))</f>
        <v>293.13191143128347</v>
      </c>
      <c r="AJ86" s="10" t="s">
        <v>237</v>
      </c>
    </row>
    <row r="87" spans="1:36" x14ac:dyDescent="0.25">
      <c r="A87" s="88"/>
      <c r="B87" s="89"/>
      <c r="C87" s="11" t="s">
        <v>158</v>
      </c>
      <c r="D87" s="11" t="s">
        <v>100</v>
      </c>
      <c r="E87" s="15">
        <f t="shared" ref="E87:G87" si="254">E86*CONVERT(1,"m","ft")</f>
        <v>775.61062675615676</v>
      </c>
      <c r="F87" s="15">
        <f t="shared" ref="F87" si="255">F86*CONVERT(1,"m","ft")</f>
        <v>853.17168943177182</v>
      </c>
      <c r="G87" s="15">
        <f t="shared" si="254"/>
        <v>930.73275210738655</v>
      </c>
      <c r="H87" s="15">
        <f t="shared" ref="H87" si="256">H86*CONVERT(1,"m","ft")</f>
        <v>1008.2938147830015</v>
      </c>
      <c r="I87" s="15">
        <f t="shared" ref="I87:Z87" si="257">I86*CONVERT(1,"m","ft")</f>
        <v>1085.8548774586181</v>
      </c>
      <c r="J87" s="15">
        <f t="shared" ref="J87:N87" si="258">J86*CONVERT(1,"m","ft")</f>
        <v>647.75016683709293</v>
      </c>
      <c r="K87" s="15">
        <f t="shared" ref="K87" si="259">K86*CONVERT(1,"m","ft")</f>
        <v>712.5251835208021</v>
      </c>
      <c r="L87" s="15">
        <f t="shared" ref="L87:M87" si="260">L86*CONVERT(1,"m","ft")</f>
        <v>777.30020020451195</v>
      </c>
      <c r="M87" s="15">
        <f t="shared" si="260"/>
        <v>842.07521688822044</v>
      </c>
      <c r="N87" s="15">
        <f t="shared" si="258"/>
        <v>906.85023357192949</v>
      </c>
      <c r="O87" s="15">
        <f t="shared" si="257"/>
        <v>1008.2938147830015</v>
      </c>
      <c r="P87" s="78">
        <f t="shared" si="257"/>
        <v>783.89354998247541</v>
      </c>
      <c r="Q87" s="78">
        <f t="shared" ref="Q87:R87" si="261">Q86*CONVERT(1,"m","ft")</f>
        <v>862.28290498072238</v>
      </c>
      <c r="R87" s="78">
        <f t="shared" si="261"/>
        <v>940.67225997896935</v>
      </c>
      <c r="S87" s="78">
        <f t="shared" ref="S87:W87" si="262">S86*CONVERT(1,"m","ft")</f>
        <v>1019.0616149772168</v>
      </c>
      <c r="T87" s="78">
        <f t="shared" si="262"/>
        <v>1097.4509699754649</v>
      </c>
      <c r="U87" s="78">
        <f t="shared" si="262"/>
        <v>623.01116777953177</v>
      </c>
      <c r="V87" s="78">
        <f t="shared" si="262"/>
        <v>685.3122845574843</v>
      </c>
      <c r="W87" s="78">
        <f t="shared" si="262"/>
        <v>747.61340133543786</v>
      </c>
      <c r="X87" s="78">
        <f t="shared" ref="X87:Y87" si="263">X86*CONVERT(1,"m","ft")</f>
        <v>809.91451811339061</v>
      </c>
      <c r="Y87" s="78">
        <f t="shared" si="263"/>
        <v>872.21563489134473</v>
      </c>
      <c r="Z87" s="78">
        <f t="shared" si="257"/>
        <v>853.51146328669756</v>
      </c>
      <c r="AA87" s="78">
        <f>AA86*CONVERT(1,"m","ft")</f>
        <v>938.86260961536675</v>
      </c>
      <c r="AB87" s="78">
        <f>AB86*CONVERT(1,"m","ft")</f>
        <v>1024.2137559440362</v>
      </c>
      <c r="AC87" s="78">
        <f>AC86*CONVERT(1,"m","ft")</f>
        <v>1109.5649022727059</v>
      </c>
      <c r="AD87" s="78">
        <f>AD86*CONVERT(1,"m","ft")</f>
        <v>1194.9160486013761</v>
      </c>
      <c r="AE87" s="78">
        <f>AE86*CONVERT(1,"m","ft")</f>
        <v>686.94204966086306</v>
      </c>
      <c r="AF87" s="78">
        <f t="shared" ref="AF87" si="264">AF86*CONVERT(1,"m","ft")</f>
        <v>755.63625462694915</v>
      </c>
      <c r="AG87" s="78">
        <f t="shared" ref="AG87:AI87" si="265">AG86*CONVERT(1,"m","ft")</f>
        <v>824.33045959303547</v>
      </c>
      <c r="AH87" s="78">
        <f t="shared" si="265"/>
        <v>893.02466455912167</v>
      </c>
      <c r="AI87" s="78">
        <f t="shared" si="265"/>
        <v>961.71886952520822</v>
      </c>
      <c r="AJ87" s="10"/>
    </row>
    <row r="88" spans="1:36" x14ac:dyDescent="0.25">
      <c r="A88" s="88"/>
      <c r="B88" s="87" t="s">
        <v>163</v>
      </c>
      <c r="C88" s="11" t="s">
        <v>157</v>
      </c>
      <c r="D88" s="11" t="s">
        <v>106</v>
      </c>
      <c r="E88" s="15">
        <f>E19/(2*E3)*E28^2/(E62-E63)*LN(E62/E63)</f>
        <v>436.38820017720718</v>
      </c>
      <c r="F88" s="15">
        <f>F19/(2*F3)*F28^2/(F62-F63)*LN(F62/F63)</f>
        <v>480.02702019492801</v>
      </c>
      <c r="G88" s="15">
        <f>G19/(2*G3)*G28^2/(G62-G63)*LN(G62/G63)</f>
        <v>523.66584021264862</v>
      </c>
      <c r="H88" s="15">
        <f>H19/(2*H3)*H28^2/(H62-H63)*LN(H62/H63)</f>
        <v>567.30466023036911</v>
      </c>
      <c r="I88" s="15">
        <f>I19/(2*I3)*I28^2/(I62-I63)*LN(I62/I63)</f>
        <v>610.94348024809005</v>
      </c>
      <c r="J88" s="15">
        <f>J19/(2*J3)*J28^2/(J62-J63)*LN(J62/J63)</f>
        <v>382.2689881941854</v>
      </c>
      <c r="K88" s="15">
        <f>K19/(2*K3)*K28^2/(K62-K63)*LN(K62/K63)</f>
        <v>420.49588701360392</v>
      </c>
      <c r="L88" s="15">
        <f>L19/(2*L3)*L28^2/(L62-L63)*LN(L62/L63)</f>
        <v>458.72278583302256</v>
      </c>
      <c r="M88" s="15">
        <f>M19/(2*M3)*M28^2/(M62-M63)*LN(M62/M63)</f>
        <v>496.94968465244091</v>
      </c>
      <c r="N88" s="15">
        <f>N19/(2*N3)*N28^2/(N62-N63)*LN(N62/N63)</f>
        <v>535.17658347185943</v>
      </c>
      <c r="O88" s="15">
        <f>O19/(2*O3)*O28^2/(O62-O63)*LN(O62/O63)</f>
        <v>567.30466023036911</v>
      </c>
      <c r="P88" s="78">
        <f>P19/(2*P3)*P28^2/(P62-P63)*LN(P62/P63)</f>
        <v>465.34648264391114</v>
      </c>
      <c r="Q88" s="78">
        <f>Q19/(2*Q3)*Q28^2/(Q62-Q63)*LN(Q62/Q63)</f>
        <v>511.88113090830228</v>
      </c>
      <c r="R88" s="78">
        <f>R19/(2*R3)*R28^2/(R62-R63)*LN(R62/R63)</f>
        <v>558.41577917269319</v>
      </c>
      <c r="S88" s="78">
        <f>S19/(2*S3)*S28^2/(S62-S63)*LN(S62/S63)</f>
        <v>604.95042743708416</v>
      </c>
      <c r="T88" s="78">
        <f>T19/(2*T3)*T28^2/(T62-T63)*LN(T62/T63)</f>
        <v>651.48507570147547</v>
      </c>
      <c r="U88" s="78">
        <f>U19/(2*U3)*U28^2/(U62-U63)*LN(U62/U63)</f>
        <v>391.19541984278868</v>
      </c>
      <c r="V88" s="78">
        <f>V19/(2*V3)*V28^2/(V62-V63)*LN(V62/V63)</f>
        <v>430.31496182706758</v>
      </c>
      <c r="W88" s="78">
        <f>W19/(2*W3)*W28^2/(W62-W63)*LN(W62/W63)</f>
        <v>469.43450381134636</v>
      </c>
      <c r="X88" s="78">
        <f>X19/(2*X3)*X28^2/(X62-X63)*LN(X62/X63)</f>
        <v>508.55404579562514</v>
      </c>
      <c r="Y88" s="78">
        <f>Y19/(2*Y3)*Y28^2/(Y62-Y63)*LN(Y62/Y63)</f>
        <v>547.6735877799041</v>
      </c>
      <c r="Z88" s="78">
        <f>Z19/(2*Z3)*Z28^2/(Z62-Z63)*LN(Z62/Z63)</f>
        <v>603.49235604181968</v>
      </c>
      <c r="AA88" s="78">
        <f>AA19/(2*AA3)*AA28^2/(AA62-AA63)*LN(AA62/AA63)</f>
        <v>663.84159164600169</v>
      </c>
      <c r="AB88" s="78">
        <f>AB19/(2*AB3)*AB28^2/(AB62-AB63)*LN(AB62/AB63)</f>
        <v>724.19082725018336</v>
      </c>
      <c r="AC88" s="78">
        <f>AC19/(2*AC3)*AC28^2/(AC62-AC63)*LN(AC62/AC63)</f>
        <v>784.54006285436537</v>
      </c>
      <c r="AD88" s="78">
        <f>AD19/(2*AD3)*AD28^2/(AD62-AD63)*LN(AD62/AD63)</f>
        <v>844.88929845854739</v>
      </c>
      <c r="AE88" s="78">
        <f>AE19/(2*AE3)*AE28^2/(AE62-AE63)*LN(AE62/AE63)</f>
        <v>506.62020188933809</v>
      </c>
      <c r="AF88" s="78">
        <f>AF19/(2*AF3)*AF28^2/(AF62-AF63)*LN(AF62/AF63)</f>
        <v>557.28222207827173</v>
      </c>
      <c r="AG88" s="78">
        <f>AG19/(2*AG3)*AG28^2/(AG62-AG63)*LN(AG62/AG63)</f>
        <v>607.9442422672056</v>
      </c>
      <c r="AH88" s="78">
        <f>AH19/(2*AH3)*AH28^2/(AH62-AH63)*LN(AH62/AH63)</f>
        <v>658.60626245613935</v>
      </c>
      <c r="AI88" s="78">
        <f>AI19/(2*AI3)*AI28^2/(AI62-AI63)*LN(AI62/AI63)</f>
        <v>709.26828264507333</v>
      </c>
      <c r="AJ88" s="10" t="s">
        <v>238</v>
      </c>
    </row>
    <row r="89" spans="1:36" x14ac:dyDescent="0.25">
      <c r="A89" s="89"/>
      <c r="B89" s="89"/>
      <c r="C89" s="11" t="s">
        <v>158</v>
      </c>
      <c r="D89" s="11" t="s">
        <v>100</v>
      </c>
      <c r="E89" s="15">
        <f t="shared" ref="E89:G89" si="266">E88*CONVERT(1,"m","ft")</f>
        <v>1431.7198168543543</v>
      </c>
      <c r="F89" s="15">
        <f t="shared" ref="F89" si="267">F88*CONVERT(1,"m","ft")</f>
        <v>1574.8917985397902</v>
      </c>
      <c r="G89" s="15">
        <f t="shared" si="266"/>
        <v>1718.0637802252252</v>
      </c>
      <c r="H89" s="15">
        <f t="shared" ref="H89" si="268">H88*CONVERT(1,"m","ft")</f>
        <v>1861.2357619106599</v>
      </c>
      <c r="I89" s="15">
        <f t="shared" ref="I89:Z89" si="269">I88*CONVERT(1,"m","ft")</f>
        <v>2004.407743596096</v>
      </c>
      <c r="J89" s="15">
        <f t="shared" ref="J89:N89" si="270">J88*CONVERT(1,"m","ft")</f>
        <v>1254.1633470937841</v>
      </c>
      <c r="K89" s="15">
        <f t="shared" ref="K89" si="271">K88*CONVERT(1,"m","ft")</f>
        <v>1379.5796818031624</v>
      </c>
      <c r="L89" s="15">
        <f t="shared" ref="L89:M89" si="272">L88*CONVERT(1,"m","ft")</f>
        <v>1504.9960165125412</v>
      </c>
      <c r="M89" s="15">
        <f t="shared" si="272"/>
        <v>1630.4123512219189</v>
      </c>
      <c r="N89" s="15">
        <f t="shared" si="270"/>
        <v>1755.8286859312973</v>
      </c>
      <c r="O89" s="15">
        <f t="shared" si="269"/>
        <v>1861.2357619106599</v>
      </c>
      <c r="P89" s="15">
        <f t="shared" si="269"/>
        <v>1526.7273052621756</v>
      </c>
      <c r="Q89" s="15">
        <f t="shared" ref="Q89:R89" si="273">Q88*CONVERT(1,"m","ft")</f>
        <v>1679.4000357883933</v>
      </c>
      <c r="R89" s="15">
        <f t="shared" si="273"/>
        <v>1832.0727663146104</v>
      </c>
      <c r="S89" s="15">
        <f t="shared" ref="S89:W89" si="274">S88*CONVERT(1,"m","ft")</f>
        <v>1984.7454968408274</v>
      </c>
      <c r="T89" s="15">
        <f t="shared" si="274"/>
        <v>2137.4182273670453</v>
      </c>
      <c r="U89" s="15">
        <f t="shared" si="274"/>
        <v>1283.4495401666295</v>
      </c>
      <c r="V89" s="15">
        <f t="shared" si="274"/>
        <v>1411.7944941832927</v>
      </c>
      <c r="W89" s="15">
        <f t="shared" si="274"/>
        <v>1540.1394481999553</v>
      </c>
      <c r="X89" s="15">
        <f t="shared" ref="X89:Y89" si="275">X88*CONVERT(1,"m","ft")</f>
        <v>1668.484402216618</v>
      </c>
      <c r="Y89" s="15">
        <f t="shared" si="275"/>
        <v>1796.8293562332813</v>
      </c>
      <c r="Z89" s="15">
        <f t="shared" si="269"/>
        <v>1979.9617980374662</v>
      </c>
      <c r="AA89" s="15">
        <f>AA88*CONVERT(1,"m","ft")</f>
        <v>2177.9579778412131</v>
      </c>
      <c r="AB89" s="15">
        <f>AB88*CONVERT(1,"m","ft")</f>
        <v>2375.9541576449587</v>
      </c>
      <c r="AC89" s="15">
        <f>AC88*CONVERT(1,"m","ft")</f>
        <v>2573.9503374487053</v>
      </c>
      <c r="AD89" s="15">
        <f>AD88*CONVERT(1,"m","ft")</f>
        <v>2771.9465172524519</v>
      </c>
      <c r="AE89" s="15">
        <f>AE88*CONVERT(1,"m","ft")</f>
        <v>1662.1397699781435</v>
      </c>
      <c r="AF89" s="15">
        <f t="shared" ref="AF89" si="276">AF88*CONVERT(1,"m","ft")</f>
        <v>1828.3537469759572</v>
      </c>
      <c r="AG89" s="15">
        <f t="shared" ref="AG89:AI89" si="277">AG88*CONVERT(1,"m","ft")</f>
        <v>1994.5677239737718</v>
      </c>
      <c r="AH89" s="15">
        <f t="shared" si="277"/>
        <v>2160.7817009715859</v>
      </c>
      <c r="AI89" s="15">
        <f t="shared" si="277"/>
        <v>2326.9956779694007</v>
      </c>
      <c r="AJ89" s="10"/>
    </row>
    <row r="90" spans="1:36" x14ac:dyDescent="0.25">
      <c r="A90" s="95" t="s">
        <v>290</v>
      </c>
      <c r="B90" s="11" t="s">
        <v>291</v>
      </c>
      <c r="C90" s="11" t="s">
        <v>333</v>
      </c>
      <c r="D90" s="11" t="s">
        <v>106</v>
      </c>
      <c r="E90" s="15">
        <f>0.5*E15/E65*LN(E64/(E64-E65*E68^2))</f>
        <v>144.19919994956604</v>
      </c>
      <c r="F90" s="15">
        <f>0.5*F15/F65*LN(F64/(F64-F65*F68^2))</f>
        <v>184.19796202872951</v>
      </c>
      <c r="G90" s="15">
        <f>0.5*G15/G65*LN(G64/(G64-G65*G68^2))</f>
        <v>231.87135446215538</v>
      </c>
      <c r="H90" s="15">
        <f>0.5*H15/H65*LN(H64/(H64-H65*H68^2))</f>
        <v>288.48808775987789</v>
      </c>
      <c r="I90" s="15">
        <f>0.5*I15/I65*LN(I64/(I64-I65*I68^2))</f>
        <v>355.61956384839453</v>
      </c>
      <c r="J90" s="15">
        <f>0.5*J15/J65*LN(J64/(J64-J65*J68^2))</f>
        <v>127.98911338793464</v>
      </c>
      <c r="K90" s="15">
        <f>0.5*K15/K65*LN(K64/(K64-K65*K68^2))</f>
        <v>163.81460832906077</v>
      </c>
      <c r="L90" s="15">
        <f>0.5*L15/L65*LN(L64/(L64-L65*L68^2))</f>
        <v>206.78402283350519</v>
      </c>
      <c r="M90" s="15">
        <f>0.5*M15/M65*LN(M64/(M64-M65*M68^2))</f>
        <v>258.23855793500002</v>
      </c>
      <c r="N90" s="15">
        <f>0.5*N15/N65*LN(N64/(N64-N65*N68^2))</f>
        <v>319.91052476867549</v>
      </c>
      <c r="O90" s="15">
        <f>0.5*O15/O65*LN(O64/(O64-O65*O68^2))</f>
        <v>472.55567048673868</v>
      </c>
      <c r="P90" s="15">
        <f>0.5*P15/P65*LN(P64/(P64-P65*P68^2))</f>
        <v>186.93920568920223</v>
      </c>
      <c r="Q90" s="15">
        <f>0.5*Q15/Q65*LN(Q64/(Q64-Q65*Q68^2))</f>
        <v>241.64284284051436</v>
      </c>
      <c r="R90" s="15">
        <f>0.5*R15/R65*LN(R64/(R64-R65*R68^2))</f>
        <v>308.31583663173581</v>
      </c>
      <c r="S90" s="15">
        <f>0.5*S15/S65*LN(S64/(S64-S65*S68^2))</f>
        <v>389.5940844267663</v>
      </c>
      <c r="T90" s="15">
        <f>0.5*T15/T65*LN(T64/(T64-T65*T68^2))</f>
        <v>489.01092672876172</v>
      </c>
      <c r="U90" s="15">
        <f>0.5*U15/U65*LN(U64/(U64-U65*U68^2))</f>
        <v>161.19057109645766</v>
      </c>
      <c r="V90" s="15">
        <f>0.5*V15/V65*LN(V64/(V64-V65*V68^2))</f>
        <v>209.27805672110449</v>
      </c>
      <c r="W90" s="15">
        <f>0.5*W15/W65*LN(W64/(W64-W65*W68^2))</f>
        <v>268.63668483133421</v>
      </c>
      <c r="X90" s="15">
        <f>0.5*X15/X65*LN(X64/(X64-X65*X68^2))</f>
        <v>342.24852564169976</v>
      </c>
      <c r="Y90" s="15">
        <f>0.5*Y15/Y65*LN(Y64/(Y64-Y65*Y68^2))</f>
        <v>434.41373979519852</v>
      </c>
      <c r="Z90" s="15">
        <f>0.5*Z15/Z65*LN(Z64/(Z64-Z65*Z68^2))</f>
        <v>190.01028834276417</v>
      </c>
      <c r="AA90" s="15">
        <f>0.5*AA15/AA65*LN(AA64/(AA64-AA65*AA68^2))</f>
        <v>246.1529683567415</v>
      </c>
      <c r="AB90" s="15">
        <f>0.5*AB15/AB65*LN(AB64/(AB64-AB65*AB68^2))</f>
        <v>314.78467190322931</v>
      </c>
      <c r="AC90" s="15">
        <f>0.5*AC15/AC65*LN(AC64/(AC64-AC65*AC68^2))</f>
        <v>398.68839737268536</v>
      </c>
      <c r="AD90" s="15">
        <f>0.5*AD15/AD65*LN(AD64/(AD64-AD65*AD68^2))</f>
        <v>501.57263327322664</v>
      </c>
      <c r="AE90" s="15">
        <f>0.5*AE15/AE65*LN(AE64/(AE64-AE65*AE68^2))</f>
        <v>163.7508399728444</v>
      </c>
      <c r="AF90" s="15">
        <f>0.5*AF15/AF65*LN(AF64/(AF64-AF65*AF68^2))</f>
        <v>213.03723127000114</v>
      </c>
      <c r="AG90" s="15">
        <f>0.5*AG15/AG65*LN(AG64/(AG64-AG65*AG68^2))</f>
        <v>274.02991612625357</v>
      </c>
      <c r="AH90" s="15">
        <f>0.5*AH15/AH65*LN(AH64/(AH64-AH65*AH68^2))</f>
        <v>349.83307925427914</v>
      </c>
      <c r="AI90" s="15">
        <f>0.5*AI15/AI65*LN(AI64/(AI64-AI65*AI68^2))</f>
        <v>444.88226392223697</v>
      </c>
      <c r="AJ90" s="10" t="s">
        <v>325</v>
      </c>
    </row>
    <row r="91" spans="1:36" x14ac:dyDescent="0.25">
      <c r="A91" s="95"/>
      <c r="B91" s="11" t="s">
        <v>292</v>
      </c>
      <c r="C91" s="11" t="s">
        <v>334</v>
      </c>
      <c r="D91" s="11" t="s">
        <v>106</v>
      </c>
      <c r="E91" s="15">
        <f>E68*E69</f>
        <v>24.715892607643404</v>
      </c>
      <c r="F91" s="15">
        <f>F68*F69</f>
        <v>25.922246857319642</v>
      </c>
      <c r="G91" s="15">
        <f>G68*G69</f>
        <v>27.074903820162948</v>
      </c>
      <c r="H91" s="15">
        <f>H68*H69</f>
        <v>28.180453360624458</v>
      </c>
      <c r="I91" s="15">
        <f>I68*I69</f>
        <v>29.24423851546808</v>
      </c>
      <c r="J91" s="15">
        <f>J68*J69</f>
        <v>23.317176280471603</v>
      </c>
      <c r="K91" s="15">
        <f>K68*K69</f>
        <v>24.455260797301801</v>
      </c>
      <c r="L91" s="15">
        <f>L68*L69</f>
        <v>25.542686852277406</v>
      </c>
      <c r="M91" s="15">
        <f>M68*M69</f>
        <v>26.585671377698247</v>
      </c>
      <c r="N91" s="15">
        <f>N68*N69</f>
        <v>27.58925503837359</v>
      </c>
      <c r="O91" s="15">
        <f>O68*O69</f>
        <v>32.168662367014889</v>
      </c>
      <c r="P91" s="15">
        <f>P68*P69</f>
        <v>27.187481868407747</v>
      </c>
      <c r="Q91" s="15">
        <f>Q68*Q69</f>
        <v>28.514471543051609</v>
      </c>
      <c r="R91" s="15">
        <f>R68*R69</f>
        <v>29.782394202179244</v>
      </c>
      <c r="S91" s="15">
        <f>S68*S69</f>
        <v>30.998498696686905</v>
      </c>
      <c r="T91" s="15">
        <f>T68*T69</f>
        <v>32.168662367014889</v>
      </c>
      <c r="U91" s="15">
        <f>U68*U69</f>
        <v>25.196440961098748</v>
      </c>
      <c r="V91" s="15">
        <f>V68*V69</f>
        <v>26.426250222397204</v>
      </c>
      <c r="W91" s="15">
        <f>W68*W69</f>
        <v>27.601318166481864</v>
      </c>
      <c r="X91" s="15">
        <f>X68*X69</f>
        <v>28.728362783806098</v>
      </c>
      <c r="Y91" s="15">
        <f>Y68*Y69</f>
        <v>29.812830995203875</v>
      </c>
      <c r="Z91" s="15">
        <f>Z68*Z69</f>
        <v>27.187481868407747</v>
      </c>
      <c r="AA91" s="15">
        <f>AA68*AA69</f>
        <v>28.514471543051609</v>
      </c>
      <c r="AB91" s="15">
        <f>AB68*AB69</f>
        <v>29.782394202179244</v>
      </c>
      <c r="AC91" s="15">
        <f>AC68*AC69</f>
        <v>30.998498696686905</v>
      </c>
      <c r="AD91" s="15">
        <f>AD68*AD69</f>
        <v>32.168662367014889</v>
      </c>
      <c r="AE91" s="15">
        <f>AE68*AE69</f>
        <v>25.196440961098748</v>
      </c>
      <c r="AF91" s="15">
        <f>AF68*AF69</f>
        <v>26.426250222397204</v>
      </c>
      <c r="AG91" s="15">
        <f>AG68*AG69</f>
        <v>27.601318166481864</v>
      </c>
      <c r="AH91" s="15">
        <f>AH68*AH69</f>
        <v>28.728362783806098</v>
      </c>
      <c r="AI91" s="15">
        <f>AI68*AI69</f>
        <v>29.812830995203875</v>
      </c>
      <c r="AJ91" s="10" t="s">
        <v>321</v>
      </c>
    </row>
    <row r="92" spans="1:36" x14ac:dyDescent="0.25">
      <c r="A92" s="95"/>
      <c r="B92" s="11" t="s">
        <v>293</v>
      </c>
      <c r="C92" s="11" t="s">
        <v>335</v>
      </c>
      <c r="D92" s="11" t="s">
        <v>106</v>
      </c>
      <c r="E92" s="15">
        <f t="shared" ref="E92:AI92" si="278">0.5*E15</f>
        <v>1133.9809250000001</v>
      </c>
      <c r="F92" s="15">
        <f t="shared" si="278"/>
        <v>1247.3790175000001</v>
      </c>
      <c r="G92" s="15">
        <f t="shared" si="278"/>
        <v>1360.77711</v>
      </c>
      <c r="H92" s="15">
        <f t="shared" si="278"/>
        <v>1474.1752025000001</v>
      </c>
      <c r="I92" s="15">
        <f t="shared" si="278"/>
        <v>1587.5732950000001</v>
      </c>
      <c r="J92" s="15">
        <f t="shared" si="278"/>
        <v>1133.9809250000001</v>
      </c>
      <c r="K92" s="15">
        <f t="shared" si="278"/>
        <v>1247.3790175000001</v>
      </c>
      <c r="L92" s="15">
        <f t="shared" si="278"/>
        <v>1360.77711</v>
      </c>
      <c r="M92" s="15">
        <f t="shared" si="278"/>
        <v>1474.1752025000001</v>
      </c>
      <c r="N92" s="15">
        <f t="shared" si="278"/>
        <v>1587.5732950000001</v>
      </c>
      <c r="O92" s="15">
        <f t="shared" si="278"/>
        <v>1587.5732950000001</v>
      </c>
      <c r="P92" s="15">
        <f t="shared" si="278"/>
        <v>1133.9809250000001</v>
      </c>
      <c r="Q92" s="15">
        <f t="shared" si="278"/>
        <v>1247.3790175000001</v>
      </c>
      <c r="R92" s="15">
        <f t="shared" si="278"/>
        <v>1360.77711</v>
      </c>
      <c r="S92" s="15">
        <f t="shared" si="278"/>
        <v>1474.1752025000001</v>
      </c>
      <c r="T92" s="15">
        <f t="shared" si="278"/>
        <v>1587.5732950000001</v>
      </c>
      <c r="U92" s="15">
        <f t="shared" si="278"/>
        <v>1133.9809250000001</v>
      </c>
      <c r="V92" s="15">
        <f t="shared" si="278"/>
        <v>1247.3790175000001</v>
      </c>
      <c r="W92" s="15">
        <f t="shared" si="278"/>
        <v>1360.77711</v>
      </c>
      <c r="X92" s="15">
        <f t="shared" si="278"/>
        <v>1474.1752025000001</v>
      </c>
      <c r="Y92" s="15">
        <f t="shared" si="278"/>
        <v>1587.5732950000001</v>
      </c>
      <c r="Z92" s="15">
        <f t="shared" si="278"/>
        <v>1133.9809250000001</v>
      </c>
      <c r="AA92" s="15">
        <f>0.5*AA15</f>
        <v>1247.3790175000001</v>
      </c>
      <c r="AB92" s="15">
        <f>0.5*AB15</f>
        <v>1360.77711</v>
      </c>
      <c r="AC92" s="15">
        <f>0.5*AC15</f>
        <v>1474.1752025000001</v>
      </c>
      <c r="AD92" s="15">
        <f>0.5*AD15</f>
        <v>1587.5732950000001</v>
      </c>
      <c r="AE92" s="15">
        <f>0.5*AE15</f>
        <v>1133.9809250000001</v>
      </c>
      <c r="AF92" s="15">
        <f t="shared" si="278"/>
        <v>1247.3790175000001</v>
      </c>
      <c r="AG92" s="15">
        <f t="shared" si="278"/>
        <v>1360.77711</v>
      </c>
      <c r="AH92" s="15">
        <f t="shared" si="278"/>
        <v>1474.1752025000001</v>
      </c>
      <c r="AI92" s="15">
        <f t="shared" si="278"/>
        <v>1587.5732950000001</v>
      </c>
      <c r="AJ92" s="10" t="s">
        <v>326</v>
      </c>
    </row>
    <row r="93" spans="1:36" x14ac:dyDescent="0.25">
      <c r="A93" s="95"/>
      <c r="B93" s="95" t="s">
        <v>294</v>
      </c>
      <c r="C93" s="11" t="s">
        <v>331</v>
      </c>
      <c r="D93" s="11" t="s">
        <v>106</v>
      </c>
      <c r="E93" s="15">
        <f t="shared" ref="E93:N93" si="279">SUM(E90:E92)</f>
        <v>1302.8960175572095</v>
      </c>
      <c r="F93" s="15">
        <f t="shared" si="279"/>
        <v>1457.4992263860493</v>
      </c>
      <c r="G93" s="15">
        <f t="shared" si="279"/>
        <v>1619.7233682823185</v>
      </c>
      <c r="H93" s="15">
        <f t="shared" si="279"/>
        <v>1790.8437436205024</v>
      </c>
      <c r="I93" s="15">
        <f t="shared" si="279"/>
        <v>1972.4370973638627</v>
      </c>
      <c r="J93" s="15">
        <f t="shared" si="279"/>
        <v>1285.2872146684062</v>
      </c>
      <c r="K93" s="15">
        <f t="shared" si="279"/>
        <v>1435.6488866263628</v>
      </c>
      <c r="L93" s="15">
        <f t="shared" si="279"/>
        <v>1593.1038196857826</v>
      </c>
      <c r="M93" s="15">
        <f t="shared" si="279"/>
        <v>1758.9994318126983</v>
      </c>
      <c r="N93" s="15">
        <f t="shared" si="279"/>
        <v>1935.0730748070491</v>
      </c>
      <c r="O93" s="15">
        <f t="shared" ref="O93:Z93" si="280">SUM(O90:O92)</f>
        <v>2092.2976278537535</v>
      </c>
      <c r="P93" s="15">
        <f t="shared" si="280"/>
        <v>1348.1076125576101</v>
      </c>
      <c r="Q93" s="15">
        <f t="shared" ref="Q93:R93" si="281">SUM(Q90:Q92)</f>
        <v>1517.5363318835662</v>
      </c>
      <c r="R93" s="15">
        <f t="shared" si="281"/>
        <v>1698.8753408339151</v>
      </c>
      <c r="S93" s="15">
        <f t="shared" ref="S93:W93" si="282">SUM(S90:S92)</f>
        <v>1894.7677856234532</v>
      </c>
      <c r="T93" s="15">
        <f t="shared" si="282"/>
        <v>2108.7528840957766</v>
      </c>
      <c r="U93" s="15">
        <f t="shared" si="282"/>
        <v>1320.3679370575564</v>
      </c>
      <c r="V93" s="15">
        <f t="shared" si="282"/>
        <v>1483.0833244435019</v>
      </c>
      <c r="W93" s="15">
        <f t="shared" si="282"/>
        <v>1657.015112997816</v>
      </c>
      <c r="X93" s="15">
        <f t="shared" ref="X93:Y93" si="283">SUM(X90:X92)</f>
        <v>1845.1520909255059</v>
      </c>
      <c r="Y93" s="15">
        <f t="shared" si="283"/>
        <v>2051.7998657904027</v>
      </c>
      <c r="Z93" s="15">
        <f t="shared" si="280"/>
        <v>1351.178695211172</v>
      </c>
      <c r="AA93" s="15">
        <f>SUM(AA90:AA92)</f>
        <v>1522.0464573997933</v>
      </c>
      <c r="AB93" s="15">
        <f>SUM(AB90:AB92)</f>
        <v>1705.3441761054087</v>
      </c>
      <c r="AC93" s="15">
        <f>SUM(AC90:AC92)</f>
        <v>1903.8620985693724</v>
      </c>
      <c r="AD93" s="15">
        <f>SUM(AD90:AD92)</f>
        <v>2121.3145906402415</v>
      </c>
      <c r="AE93" s="15">
        <f>SUM(AE90:AE92)</f>
        <v>1322.9282059339432</v>
      </c>
      <c r="AF93" s="15">
        <f t="shared" ref="AF93" si="284">SUM(AF90:AF92)</f>
        <v>1486.8424989923985</v>
      </c>
      <c r="AG93" s="15">
        <f t="shared" ref="AG93:AI93" si="285">SUM(AG90:AG92)</f>
        <v>1662.4083442927354</v>
      </c>
      <c r="AH93" s="15">
        <f t="shared" si="285"/>
        <v>1852.7366445380853</v>
      </c>
      <c r="AI93" s="15">
        <f t="shared" si="285"/>
        <v>2062.2683899174408</v>
      </c>
      <c r="AJ93" s="10" t="s">
        <v>330</v>
      </c>
    </row>
    <row r="94" spans="1:36" x14ac:dyDescent="0.25">
      <c r="A94" s="95"/>
      <c r="B94" s="95"/>
      <c r="C94" s="11" t="s">
        <v>332</v>
      </c>
      <c r="D94" s="11" t="s">
        <v>100</v>
      </c>
      <c r="E94" s="15">
        <f t="shared" ref="E94:G94" si="286">E93*CONVERT(1,"m","ft")</f>
        <v>4274.5932334554118</v>
      </c>
      <c r="F94" s="15">
        <f t="shared" ref="F94" si="287">F93*CONVERT(1,"m","ft")</f>
        <v>4781.8216088781146</v>
      </c>
      <c r="G94" s="15">
        <f t="shared" si="286"/>
        <v>5314.0530455456646</v>
      </c>
      <c r="H94" s="15">
        <f t="shared" ref="H94" si="288">H93*CONVERT(1,"m","ft")</f>
        <v>5875.4715998047977</v>
      </c>
      <c r="I94" s="15">
        <f t="shared" ref="I94:Z94" si="289">I93*CONVERT(1,"m","ft")</f>
        <v>6471.2503194352448</v>
      </c>
      <c r="J94" s="15">
        <f t="shared" ref="J94:N94" si="290">J93*CONVERT(1,"m","ft")</f>
        <v>4216.8215704344038</v>
      </c>
      <c r="K94" s="15">
        <f t="shared" ref="K94" si="291">K93*CONVERT(1,"m","ft")</f>
        <v>4710.1341424749435</v>
      </c>
      <c r="L94" s="15">
        <f t="shared" ref="L94:M94" si="292">L93*CONVERT(1,"m","ft")</f>
        <v>5226.7185685229088</v>
      </c>
      <c r="M94" s="15">
        <f t="shared" si="292"/>
        <v>5770.9955111965164</v>
      </c>
      <c r="N94" s="15">
        <f t="shared" si="290"/>
        <v>6348.6649435926811</v>
      </c>
      <c r="O94" s="15">
        <f t="shared" si="289"/>
        <v>6864.4935297039156</v>
      </c>
      <c r="P94" s="15">
        <f t="shared" si="289"/>
        <v>4422.925238049902</v>
      </c>
      <c r="Q94" s="15">
        <f t="shared" ref="Q94:R94" si="293">Q93*CONVERT(1,"m","ft")</f>
        <v>4978.7937397754795</v>
      </c>
      <c r="R94" s="15">
        <f t="shared" si="293"/>
        <v>5573.7379948619264</v>
      </c>
      <c r="S94" s="15">
        <f t="shared" ref="S94:W94" si="294">S93*CONVERT(1,"m","ft")</f>
        <v>6216.429742859098</v>
      </c>
      <c r="T94" s="15">
        <f t="shared" si="294"/>
        <v>6918.4805908654089</v>
      </c>
      <c r="U94" s="15">
        <f t="shared" si="294"/>
        <v>4331.9158039946078</v>
      </c>
      <c r="V94" s="15">
        <f t="shared" si="294"/>
        <v>4865.7589384629327</v>
      </c>
      <c r="W94" s="15">
        <f t="shared" si="294"/>
        <v>5436.4012893629133</v>
      </c>
      <c r="X94" s="15">
        <f t="shared" ref="X94:Y94" si="295">X93*CONVERT(1,"m","ft")</f>
        <v>6053.6485922752818</v>
      </c>
      <c r="Y94" s="15">
        <f t="shared" si="295"/>
        <v>6731.626856267726</v>
      </c>
      <c r="Z94" s="15">
        <f t="shared" si="289"/>
        <v>4433.0009685405903</v>
      </c>
      <c r="AA94" s="15">
        <f>AA93*CONVERT(1,"m","ft")</f>
        <v>4993.5907395006343</v>
      </c>
      <c r="AB94" s="15">
        <f>AB93*CONVERT(1,"m","ft")</f>
        <v>5594.9612076949106</v>
      </c>
      <c r="AC94" s="15">
        <f>AC93*CONVERT(1,"m","ft")</f>
        <v>6246.2667275898048</v>
      </c>
      <c r="AD94" s="15">
        <f>AD93*CONVERT(1,"m","ft")</f>
        <v>6959.6935388459369</v>
      </c>
      <c r="AE94" s="15">
        <f>AE93*CONVERT(1,"m","ft")</f>
        <v>4340.3156362662185</v>
      </c>
      <c r="AF94" s="15">
        <f t="shared" ref="AF94" si="296">AF93*CONVERT(1,"m","ft")</f>
        <v>4878.0921882952707</v>
      </c>
      <c r="AG94" s="15">
        <f t="shared" ref="AG94:AI94" si="297">AG93*CONVERT(1,"m","ft")</f>
        <v>5454.0956177583184</v>
      </c>
      <c r="AH94" s="15">
        <f t="shared" si="297"/>
        <v>6078.5322983532988</v>
      </c>
      <c r="AI94" s="15">
        <f t="shared" si="297"/>
        <v>6765.97240786562</v>
      </c>
      <c r="AJ94" s="10"/>
    </row>
  </sheetData>
  <mergeCells count="30">
    <mergeCell ref="A90:A94"/>
    <mergeCell ref="B93:B94"/>
    <mergeCell ref="A70:A73"/>
    <mergeCell ref="B70:B71"/>
    <mergeCell ref="B72:B73"/>
    <mergeCell ref="A86:A89"/>
    <mergeCell ref="B86:B87"/>
    <mergeCell ref="B88:B89"/>
    <mergeCell ref="A50:A69"/>
    <mergeCell ref="A3:A11"/>
    <mergeCell ref="A12:A13"/>
    <mergeCell ref="A14:A19"/>
    <mergeCell ref="B14:B16"/>
    <mergeCell ref="B17:B19"/>
    <mergeCell ref="A20:A28"/>
    <mergeCell ref="B20:B21"/>
    <mergeCell ref="B22:B23"/>
    <mergeCell ref="B25:B26"/>
    <mergeCell ref="B27:B28"/>
    <mergeCell ref="A29:A49"/>
    <mergeCell ref="B29:B30"/>
    <mergeCell ref="B31:B32"/>
    <mergeCell ref="B33:B34"/>
    <mergeCell ref="B47:B48"/>
    <mergeCell ref="AE1:AI1"/>
    <mergeCell ref="E1:I1"/>
    <mergeCell ref="J1:N1"/>
    <mergeCell ref="P1:T1"/>
    <mergeCell ref="U1:Y1"/>
    <mergeCell ref="Z1:AD1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979A-C85B-41DB-BE9D-B7752EF90021}">
  <dimension ref="A1:AK84"/>
  <sheetViews>
    <sheetView zoomScale="70" zoomScaleNormal="70" workbookViewId="0">
      <pane xSplit="4" ySplit="2" topLeftCell="E83" activePane="bottomRight" state="frozen"/>
      <selection pane="topRight" activeCell="E1" sqref="E1"/>
      <selection pane="bottomLeft" activeCell="A3" sqref="A3"/>
      <selection pane="bottomRight" activeCell="U38" sqref="U38:AJ38"/>
    </sheetView>
  </sheetViews>
  <sheetFormatPr defaultRowHeight="14.5" x14ac:dyDescent="0.25"/>
  <cols>
    <col min="1" max="1" width="19.08984375" style="5" bestFit="1" customWidth="1"/>
    <col min="2" max="2" width="30.453125" style="9" bestFit="1" customWidth="1"/>
    <col min="3" max="3" width="14.26953125" style="9" bestFit="1" customWidth="1"/>
    <col min="4" max="4" width="8.7265625" style="9"/>
    <col min="5" max="5" width="12.26953125" style="9" bestFit="1" customWidth="1"/>
    <col min="6" max="27" width="10" style="9" bestFit="1" customWidth="1"/>
    <col min="28" max="28" width="10" style="9" customWidth="1"/>
    <col min="29" max="31" width="10" style="9" bestFit="1" customWidth="1"/>
    <col min="32" max="32" width="10" style="9" customWidth="1"/>
    <col min="33" max="35" width="10" style="9" bestFit="1" customWidth="1"/>
    <col min="36" max="36" width="10" style="9" customWidth="1"/>
    <col min="37" max="37" width="88.81640625" style="5" customWidth="1"/>
    <col min="38" max="16384" width="8.7265625" style="5"/>
  </cols>
  <sheetData>
    <row r="1" spans="1:37" x14ac:dyDescent="0.25">
      <c r="E1" s="95" t="s">
        <v>366</v>
      </c>
      <c r="F1" s="95"/>
      <c r="G1" s="95"/>
      <c r="H1" s="95"/>
      <c r="I1" s="95" t="s">
        <v>367</v>
      </c>
      <c r="J1" s="95"/>
      <c r="K1" s="95"/>
      <c r="L1" s="95"/>
      <c r="M1" s="95" t="s">
        <v>368</v>
      </c>
      <c r="N1" s="95"/>
      <c r="O1" s="95"/>
      <c r="P1" s="95"/>
      <c r="Q1" s="95" t="s">
        <v>369</v>
      </c>
      <c r="R1" s="95"/>
      <c r="S1" s="95"/>
      <c r="T1" s="95"/>
      <c r="U1" s="95" t="s">
        <v>407</v>
      </c>
      <c r="V1" s="95"/>
      <c r="W1" s="95"/>
      <c r="X1" s="95"/>
      <c r="Y1" s="95" t="s">
        <v>408</v>
      </c>
      <c r="Z1" s="95"/>
      <c r="AA1" s="95"/>
      <c r="AB1" s="95"/>
      <c r="AC1" s="95" t="s">
        <v>409</v>
      </c>
      <c r="AD1" s="95"/>
      <c r="AE1" s="95"/>
      <c r="AF1" s="95"/>
      <c r="AG1" s="95" t="s">
        <v>410</v>
      </c>
      <c r="AH1" s="95"/>
      <c r="AI1" s="95"/>
      <c r="AJ1" s="95"/>
    </row>
    <row r="2" spans="1:37" ht="43.5" x14ac:dyDescent="0.25">
      <c r="A2" s="10"/>
      <c r="B2" s="11"/>
      <c r="C2" s="11"/>
      <c r="D2" s="11"/>
      <c r="E2" s="68" t="s">
        <v>244</v>
      </c>
      <c r="F2" s="68" t="s">
        <v>244</v>
      </c>
      <c r="G2" s="68" t="s">
        <v>244</v>
      </c>
      <c r="H2" s="68" t="s">
        <v>244</v>
      </c>
      <c r="I2" s="68" t="s">
        <v>244</v>
      </c>
      <c r="J2" s="68" t="s">
        <v>244</v>
      </c>
      <c r="K2" s="68" t="s">
        <v>244</v>
      </c>
      <c r="L2" s="68" t="s">
        <v>244</v>
      </c>
      <c r="M2" s="68" t="s">
        <v>244</v>
      </c>
      <c r="N2" s="68" t="s">
        <v>244</v>
      </c>
      <c r="O2" s="68" t="s">
        <v>244</v>
      </c>
      <c r="P2" s="68" t="s">
        <v>244</v>
      </c>
      <c r="Q2" s="68" t="s">
        <v>244</v>
      </c>
      <c r="R2" s="68" t="s">
        <v>244</v>
      </c>
      <c r="S2" s="68" t="s">
        <v>244</v>
      </c>
      <c r="T2" s="68" t="s">
        <v>244</v>
      </c>
      <c r="U2" s="83" t="s">
        <v>244</v>
      </c>
      <c r="V2" s="83" t="s">
        <v>244</v>
      </c>
      <c r="W2" s="83" t="s">
        <v>244</v>
      </c>
      <c r="X2" s="83" t="s">
        <v>244</v>
      </c>
      <c r="Y2" s="83" t="s">
        <v>244</v>
      </c>
      <c r="Z2" s="83" t="s">
        <v>244</v>
      </c>
      <c r="AA2" s="83" t="s">
        <v>244</v>
      </c>
      <c r="AB2" s="83" t="s">
        <v>244</v>
      </c>
      <c r="AC2" s="83" t="s">
        <v>244</v>
      </c>
      <c r="AD2" s="83" t="s">
        <v>244</v>
      </c>
      <c r="AE2" s="83" t="s">
        <v>244</v>
      </c>
      <c r="AF2" s="83" t="s">
        <v>244</v>
      </c>
      <c r="AG2" s="83" t="s">
        <v>244</v>
      </c>
      <c r="AH2" s="83" t="s">
        <v>244</v>
      </c>
      <c r="AI2" s="83" t="s">
        <v>244</v>
      </c>
      <c r="AJ2" s="83" t="s">
        <v>244</v>
      </c>
      <c r="AK2" s="10" t="s">
        <v>173</v>
      </c>
    </row>
    <row r="3" spans="1:37" x14ac:dyDescent="0.25">
      <c r="A3" s="87"/>
      <c r="B3" s="11" t="s">
        <v>149</v>
      </c>
      <c r="C3" s="11" t="s">
        <v>118</v>
      </c>
      <c r="D3" s="11" t="s">
        <v>108</v>
      </c>
      <c r="E3" s="11">
        <v>9.8066499999999994</v>
      </c>
      <c r="F3" s="11">
        <v>9.8066499999999994</v>
      </c>
      <c r="G3" s="11">
        <v>9.8066499999999994</v>
      </c>
      <c r="H3" s="11">
        <v>9.8066499999999994</v>
      </c>
      <c r="I3" s="11">
        <v>9.8066499999999994</v>
      </c>
      <c r="J3" s="11">
        <v>9.8066499999999994</v>
      </c>
      <c r="K3" s="11">
        <v>9.8066499999999994</v>
      </c>
      <c r="L3" s="11">
        <v>9.8066499999999994</v>
      </c>
      <c r="M3" s="11">
        <v>9.8066499999999994</v>
      </c>
      <c r="N3" s="11">
        <v>9.8066499999999994</v>
      </c>
      <c r="O3" s="11">
        <v>9.8066499999999994</v>
      </c>
      <c r="P3" s="11">
        <v>9.8066499999999994</v>
      </c>
      <c r="Q3" s="11">
        <v>9.8066499999999994</v>
      </c>
      <c r="R3" s="11">
        <v>9.8066499999999994</v>
      </c>
      <c r="S3" s="11">
        <v>9.8066499999999994</v>
      </c>
      <c r="T3" s="11">
        <v>9.8066499999999994</v>
      </c>
      <c r="U3" s="11">
        <v>9.8066499999999994</v>
      </c>
      <c r="V3" s="11">
        <v>9.8066499999999994</v>
      </c>
      <c r="W3" s="11">
        <v>9.8066499999999994</v>
      </c>
      <c r="X3" s="11">
        <v>9.8066499999999994</v>
      </c>
      <c r="Y3" s="11">
        <v>9.8066499999999994</v>
      </c>
      <c r="Z3" s="11">
        <v>9.8066499999999994</v>
      </c>
      <c r="AA3" s="11">
        <v>9.8066499999999994</v>
      </c>
      <c r="AB3" s="11">
        <v>9.8066499999999994</v>
      </c>
      <c r="AC3" s="11">
        <v>9.8066499999999994</v>
      </c>
      <c r="AD3" s="11">
        <v>9.8066499999999994</v>
      </c>
      <c r="AE3" s="11">
        <v>9.8066499999999994</v>
      </c>
      <c r="AF3" s="11">
        <v>9.8066499999999994</v>
      </c>
      <c r="AG3" s="11">
        <v>9.8066499999999994</v>
      </c>
      <c r="AH3" s="11">
        <v>9.8066499999999994</v>
      </c>
      <c r="AI3" s="11">
        <v>9.8066499999999994</v>
      </c>
      <c r="AJ3" s="11">
        <v>9.8066499999999994</v>
      </c>
      <c r="AK3" s="10"/>
    </row>
    <row r="4" spans="1:37" x14ac:dyDescent="0.25">
      <c r="A4" s="88"/>
      <c r="B4" s="76" t="s">
        <v>373</v>
      </c>
      <c r="C4" s="11" t="s">
        <v>372</v>
      </c>
      <c r="D4" s="11" t="s">
        <v>100</v>
      </c>
      <c r="E4" s="11">
        <v>0</v>
      </c>
      <c r="F4" s="11">
        <v>2000</v>
      </c>
      <c r="G4" s="11">
        <v>4000</v>
      </c>
      <c r="H4" s="11">
        <v>6000</v>
      </c>
      <c r="I4" s="11">
        <v>0</v>
      </c>
      <c r="J4" s="11">
        <v>2000</v>
      </c>
      <c r="K4" s="11">
        <v>4000</v>
      </c>
      <c r="L4" s="11">
        <v>6000</v>
      </c>
      <c r="M4" s="11">
        <v>0</v>
      </c>
      <c r="N4" s="11">
        <v>2000</v>
      </c>
      <c r="O4" s="11">
        <v>4000</v>
      </c>
      <c r="P4" s="11">
        <v>6000</v>
      </c>
      <c r="Q4" s="11">
        <v>0</v>
      </c>
      <c r="R4" s="11">
        <v>2000</v>
      </c>
      <c r="S4" s="11">
        <v>4000</v>
      </c>
      <c r="T4" s="11">
        <v>6000</v>
      </c>
      <c r="U4" s="11">
        <v>0</v>
      </c>
      <c r="V4" s="11">
        <v>2000</v>
      </c>
      <c r="W4" s="11">
        <v>4000</v>
      </c>
      <c r="X4" s="11">
        <v>6000</v>
      </c>
      <c r="Y4" s="11">
        <v>0</v>
      </c>
      <c r="Z4" s="11">
        <v>2000</v>
      </c>
      <c r="AA4" s="11">
        <v>4000</v>
      </c>
      <c r="AB4" s="11">
        <v>6000</v>
      </c>
      <c r="AC4" s="11">
        <v>0</v>
      </c>
      <c r="AD4" s="11">
        <v>2000</v>
      </c>
      <c r="AE4" s="11">
        <v>4000</v>
      </c>
      <c r="AF4" s="11">
        <v>6000</v>
      </c>
      <c r="AG4" s="11">
        <v>0</v>
      </c>
      <c r="AH4" s="11">
        <v>2000</v>
      </c>
      <c r="AI4" s="11">
        <v>4000</v>
      </c>
      <c r="AJ4" s="11">
        <v>6000</v>
      </c>
      <c r="AK4" s="10"/>
    </row>
    <row r="5" spans="1:37" x14ac:dyDescent="0.25">
      <c r="A5" s="88"/>
      <c r="B5" s="76" t="s">
        <v>370</v>
      </c>
      <c r="C5" s="11" t="s">
        <v>371</v>
      </c>
      <c r="D5" s="11" t="s">
        <v>119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0"/>
    </row>
    <row r="6" spans="1:37" x14ac:dyDescent="0.25">
      <c r="A6" s="88"/>
      <c r="B6" s="11" t="s">
        <v>373</v>
      </c>
      <c r="C6" s="11" t="s">
        <v>374</v>
      </c>
      <c r="D6" s="11" t="s">
        <v>106</v>
      </c>
      <c r="E6" s="14">
        <f>E4*CONVERT(1,"ft","m")</f>
        <v>0</v>
      </c>
      <c r="F6" s="14">
        <f t="shared" ref="F6:X6" si="0">F4*CONVERT(1,"ft","m")</f>
        <v>609.6</v>
      </c>
      <c r="G6" s="14">
        <f t="shared" si="0"/>
        <v>1219.2</v>
      </c>
      <c r="H6" s="14">
        <f t="shared" si="0"/>
        <v>1828.8000000000002</v>
      </c>
      <c r="I6" s="14">
        <f t="shared" si="0"/>
        <v>0</v>
      </c>
      <c r="J6" s="14">
        <f t="shared" si="0"/>
        <v>609.6</v>
      </c>
      <c r="K6" s="14">
        <f t="shared" si="0"/>
        <v>1219.2</v>
      </c>
      <c r="L6" s="14">
        <f t="shared" si="0"/>
        <v>1828.8000000000002</v>
      </c>
      <c r="M6" s="14">
        <f t="shared" si="0"/>
        <v>0</v>
      </c>
      <c r="N6" s="14">
        <f t="shared" si="0"/>
        <v>609.6</v>
      </c>
      <c r="O6" s="14">
        <f t="shared" si="0"/>
        <v>1219.2</v>
      </c>
      <c r="P6" s="14">
        <f t="shared" si="0"/>
        <v>1828.8000000000002</v>
      </c>
      <c r="Q6" s="14">
        <f t="shared" si="0"/>
        <v>0</v>
      </c>
      <c r="R6" s="14">
        <f t="shared" si="0"/>
        <v>609.6</v>
      </c>
      <c r="S6" s="14">
        <f t="shared" si="0"/>
        <v>1219.2</v>
      </c>
      <c r="T6" s="14">
        <f t="shared" si="0"/>
        <v>1828.8000000000002</v>
      </c>
      <c r="U6" s="14">
        <f t="shared" si="0"/>
        <v>0</v>
      </c>
      <c r="V6" s="14">
        <f t="shared" si="0"/>
        <v>609.6</v>
      </c>
      <c r="W6" s="14">
        <f t="shared" si="0"/>
        <v>1219.2</v>
      </c>
      <c r="X6" s="14">
        <f t="shared" si="0"/>
        <v>1828.8000000000002</v>
      </c>
      <c r="Y6" s="14">
        <f t="shared" ref="Y6:AB6" si="1">Y4*CONVERT(1,"ft","m")</f>
        <v>0</v>
      </c>
      <c r="Z6" s="14">
        <f t="shared" si="1"/>
        <v>609.6</v>
      </c>
      <c r="AA6" s="14">
        <f t="shared" si="1"/>
        <v>1219.2</v>
      </c>
      <c r="AB6" s="14">
        <f t="shared" si="1"/>
        <v>1828.8000000000002</v>
      </c>
      <c r="AC6" s="14">
        <f t="shared" ref="AC6:AF6" si="2">AC4*CONVERT(1,"ft","m")</f>
        <v>0</v>
      </c>
      <c r="AD6" s="14">
        <f t="shared" si="2"/>
        <v>609.6</v>
      </c>
      <c r="AE6" s="14">
        <f t="shared" si="2"/>
        <v>1219.2</v>
      </c>
      <c r="AF6" s="14">
        <f t="shared" si="2"/>
        <v>1828.8000000000002</v>
      </c>
      <c r="AG6" s="14">
        <f t="shared" ref="AG6:AJ6" si="3">AG4*CONVERT(1,"ft","m")</f>
        <v>0</v>
      </c>
      <c r="AH6" s="14">
        <f t="shared" si="3"/>
        <v>609.6</v>
      </c>
      <c r="AI6" s="14">
        <f t="shared" si="3"/>
        <v>1219.2</v>
      </c>
      <c r="AJ6" s="14">
        <f t="shared" si="3"/>
        <v>1828.8000000000002</v>
      </c>
      <c r="AK6" s="10"/>
    </row>
    <row r="7" spans="1:37" x14ac:dyDescent="0.25">
      <c r="A7" s="88"/>
      <c r="B7" s="11" t="s">
        <v>375</v>
      </c>
      <c r="C7" s="11" t="s">
        <v>382</v>
      </c>
      <c r="D7" s="11" t="s">
        <v>172</v>
      </c>
      <c r="E7" s="16">
        <f>288.15-0.00649*E6</f>
        <v>288.14999999999998</v>
      </c>
      <c r="F7" s="16">
        <f t="shared" ref="F7:X7" si="4">288.15-0.00649*F6</f>
        <v>284.19369599999999</v>
      </c>
      <c r="G7" s="16">
        <f t="shared" si="4"/>
        <v>280.237392</v>
      </c>
      <c r="H7" s="16">
        <f t="shared" si="4"/>
        <v>276.28108799999995</v>
      </c>
      <c r="I7" s="16">
        <f t="shared" si="4"/>
        <v>288.14999999999998</v>
      </c>
      <c r="J7" s="16">
        <f t="shared" si="4"/>
        <v>284.19369599999999</v>
      </c>
      <c r="K7" s="16">
        <f t="shared" si="4"/>
        <v>280.237392</v>
      </c>
      <c r="L7" s="16">
        <f t="shared" si="4"/>
        <v>276.28108799999995</v>
      </c>
      <c r="M7" s="16">
        <f t="shared" si="4"/>
        <v>288.14999999999998</v>
      </c>
      <c r="N7" s="16">
        <f t="shared" si="4"/>
        <v>284.19369599999999</v>
      </c>
      <c r="O7" s="16">
        <f t="shared" si="4"/>
        <v>280.237392</v>
      </c>
      <c r="P7" s="16">
        <f t="shared" si="4"/>
        <v>276.28108799999995</v>
      </c>
      <c r="Q7" s="16">
        <f t="shared" si="4"/>
        <v>288.14999999999998</v>
      </c>
      <c r="R7" s="16">
        <f t="shared" si="4"/>
        <v>284.19369599999999</v>
      </c>
      <c r="S7" s="16">
        <f t="shared" si="4"/>
        <v>280.237392</v>
      </c>
      <c r="T7" s="16">
        <f t="shared" si="4"/>
        <v>276.28108799999995</v>
      </c>
      <c r="U7" s="16">
        <f t="shared" si="4"/>
        <v>288.14999999999998</v>
      </c>
      <c r="V7" s="16">
        <f t="shared" si="4"/>
        <v>284.19369599999999</v>
      </c>
      <c r="W7" s="16">
        <f t="shared" si="4"/>
        <v>280.237392</v>
      </c>
      <c r="X7" s="16">
        <f t="shared" si="4"/>
        <v>276.28108799999995</v>
      </c>
      <c r="Y7" s="16">
        <f t="shared" ref="Y7:AB7" si="5">288.15-0.00649*Y6</f>
        <v>288.14999999999998</v>
      </c>
      <c r="Z7" s="16">
        <f t="shared" si="5"/>
        <v>284.19369599999999</v>
      </c>
      <c r="AA7" s="16">
        <f t="shared" si="5"/>
        <v>280.237392</v>
      </c>
      <c r="AB7" s="16">
        <f t="shared" si="5"/>
        <v>276.28108799999995</v>
      </c>
      <c r="AC7" s="16">
        <f t="shared" ref="AC7:AF7" si="6">288.15-0.00649*AC6</f>
        <v>288.14999999999998</v>
      </c>
      <c r="AD7" s="16">
        <f t="shared" si="6"/>
        <v>284.19369599999999</v>
      </c>
      <c r="AE7" s="16">
        <f t="shared" si="6"/>
        <v>280.237392</v>
      </c>
      <c r="AF7" s="16">
        <f t="shared" si="6"/>
        <v>276.28108799999995</v>
      </c>
      <c r="AG7" s="16">
        <f t="shared" ref="AG7:AJ7" si="7">288.15-0.00649*AG6</f>
        <v>288.14999999999998</v>
      </c>
      <c r="AH7" s="16">
        <f t="shared" si="7"/>
        <v>284.19369599999999</v>
      </c>
      <c r="AI7" s="16">
        <f t="shared" si="7"/>
        <v>280.237392</v>
      </c>
      <c r="AJ7" s="16">
        <f t="shared" si="7"/>
        <v>276.28108799999995</v>
      </c>
      <c r="AK7" s="10"/>
    </row>
    <row r="8" spans="1:37" x14ac:dyDescent="0.25">
      <c r="A8" s="88"/>
      <c r="B8" s="11" t="s">
        <v>376</v>
      </c>
      <c r="C8" s="11" t="s">
        <v>381</v>
      </c>
      <c r="D8" s="11" t="s">
        <v>172</v>
      </c>
      <c r="E8" s="16">
        <f>E7+E5</f>
        <v>288.14999999999998</v>
      </c>
      <c r="F8" s="16">
        <f t="shared" ref="F8:X8" si="8">F7+F5</f>
        <v>284.19369599999999</v>
      </c>
      <c r="G8" s="16">
        <f t="shared" si="8"/>
        <v>280.237392</v>
      </c>
      <c r="H8" s="16">
        <f t="shared" si="8"/>
        <v>276.28108799999995</v>
      </c>
      <c r="I8" s="16">
        <f t="shared" si="8"/>
        <v>288.14999999999998</v>
      </c>
      <c r="J8" s="16">
        <f t="shared" si="8"/>
        <v>284.19369599999999</v>
      </c>
      <c r="K8" s="16">
        <f t="shared" si="8"/>
        <v>280.237392</v>
      </c>
      <c r="L8" s="16">
        <f t="shared" si="8"/>
        <v>276.28108799999995</v>
      </c>
      <c r="M8" s="16">
        <f t="shared" si="8"/>
        <v>288.14999999999998</v>
      </c>
      <c r="N8" s="16">
        <f t="shared" si="8"/>
        <v>284.19369599999999</v>
      </c>
      <c r="O8" s="16">
        <f t="shared" si="8"/>
        <v>280.237392</v>
      </c>
      <c r="P8" s="16">
        <f t="shared" si="8"/>
        <v>276.28108799999995</v>
      </c>
      <c r="Q8" s="16">
        <f t="shared" si="8"/>
        <v>288.14999999999998</v>
      </c>
      <c r="R8" s="16">
        <f t="shared" si="8"/>
        <v>284.19369599999999</v>
      </c>
      <c r="S8" s="16">
        <f t="shared" si="8"/>
        <v>280.237392</v>
      </c>
      <c r="T8" s="16">
        <f t="shared" si="8"/>
        <v>276.28108799999995</v>
      </c>
      <c r="U8" s="16">
        <f t="shared" si="8"/>
        <v>288.14999999999998</v>
      </c>
      <c r="V8" s="16">
        <f t="shared" si="8"/>
        <v>284.19369599999999</v>
      </c>
      <c r="W8" s="16">
        <f t="shared" si="8"/>
        <v>280.237392</v>
      </c>
      <c r="X8" s="16">
        <f t="shared" si="8"/>
        <v>276.28108799999995</v>
      </c>
      <c r="Y8" s="16">
        <f t="shared" ref="Y8:AB8" si="9">Y7+Y5</f>
        <v>288.14999999999998</v>
      </c>
      <c r="Z8" s="16">
        <f t="shared" si="9"/>
        <v>284.19369599999999</v>
      </c>
      <c r="AA8" s="16">
        <f t="shared" si="9"/>
        <v>280.237392</v>
      </c>
      <c r="AB8" s="16">
        <f t="shared" si="9"/>
        <v>276.28108799999995</v>
      </c>
      <c r="AC8" s="16">
        <f t="shared" ref="AC8:AF8" si="10">AC7+AC5</f>
        <v>288.14999999999998</v>
      </c>
      <c r="AD8" s="16">
        <f t="shared" si="10"/>
        <v>284.19369599999999</v>
      </c>
      <c r="AE8" s="16">
        <f t="shared" si="10"/>
        <v>280.237392</v>
      </c>
      <c r="AF8" s="16">
        <f t="shared" si="10"/>
        <v>276.28108799999995</v>
      </c>
      <c r="AG8" s="16">
        <f t="shared" ref="AG8:AJ8" si="11">AG7+AG5</f>
        <v>288.14999999999998</v>
      </c>
      <c r="AH8" s="16">
        <f t="shared" si="11"/>
        <v>284.19369599999999</v>
      </c>
      <c r="AI8" s="16">
        <f t="shared" si="11"/>
        <v>280.237392</v>
      </c>
      <c r="AJ8" s="16">
        <f t="shared" si="11"/>
        <v>276.28108799999995</v>
      </c>
      <c r="AK8" s="10"/>
    </row>
    <row r="9" spans="1:37" x14ac:dyDescent="0.25">
      <c r="A9" s="88"/>
      <c r="B9" s="11" t="s">
        <v>376</v>
      </c>
      <c r="C9" s="11" t="s">
        <v>377</v>
      </c>
      <c r="D9" s="11" t="s">
        <v>119</v>
      </c>
      <c r="E9" s="14">
        <f>E8-273.15</f>
        <v>15</v>
      </c>
      <c r="F9" s="14">
        <f t="shared" ref="F9:X9" si="12">F8-273.15</f>
        <v>11.043696000000011</v>
      </c>
      <c r="G9" s="14">
        <f t="shared" si="12"/>
        <v>7.0873920000000226</v>
      </c>
      <c r="H9" s="14">
        <f t="shared" si="12"/>
        <v>3.131087999999977</v>
      </c>
      <c r="I9" s="14">
        <f t="shared" si="12"/>
        <v>15</v>
      </c>
      <c r="J9" s="14">
        <f t="shared" si="12"/>
        <v>11.043696000000011</v>
      </c>
      <c r="K9" s="14">
        <f t="shared" si="12"/>
        <v>7.0873920000000226</v>
      </c>
      <c r="L9" s="14">
        <f t="shared" si="12"/>
        <v>3.131087999999977</v>
      </c>
      <c r="M9" s="14">
        <f t="shared" si="12"/>
        <v>15</v>
      </c>
      <c r="N9" s="14">
        <f t="shared" si="12"/>
        <v>11.043696000000011</v>
      </c>
      <c r="O9" s="14">
        <f t="shared" si="12"/>
        <v>7.0873920000000226</v>
      </c>
      <c r="P9" s="14">
        <f t="shared" si="12"/>
        <v>3.131087999999977</v>
      </c>
      <c r="Q9" s="14">
        <f t="shared" si="12"/>
        <v>15</v>
      </c>
      <c r="R9" s="14">
        <f t="shared" si="12"/>
        <v>11.043696000000011</v>
      </c>
      <c r="S9" s="14">
        <f t="shared" si="12"/>
        <v>7.0873920000000226</v>
      </c>
      <c r="T9" s="14">
        <f t="shared" si="12"/>
        <v>3.131087999999977</v>
      </c>
      <c r="U9" s="14">
        <f t="shared" si="12"/>
        <v>15</v>
      </c>
      <c r="V9" s="14">
        <f t="shared" si="12"/>
        <v>11.043696000000011</v>
      </c>
      <c r="W9" s="14">
        <f t="shared" si="12"/>
        <v>7.0873920000000226</v>
      </c>
      <c r="X9" s="14">
        <f t="shared" si="12"/>
        <v>3.131087999999977</v>
      </c>
      <c r="Y9" s="14">
        <f t="shared" ref="Y9:AB9" si="13">Y8-273.15</f>
        <v>15</v>
      </c>
      <c r="Z9" s="14">
        <f t="shared" si="13"/>
        <v>11.043696000000011</v>
      </c>
      <c r="AA9" s="14">
        <f t="shared" si="13"/>
        <v>7.0873920000000226</v>
      </c>
      <c r="AB9" s="14">
        <f t="shared" si="13"/>
        <v>3.131087999999977</v>
      </c>
      <c r="AC9" s="14">
        <f t="shared" ref="AC9:AF9" si="14">AC8-273.15</f>
        <v>15</v>
      </c>
      <c r="AD9" s="14">
        <f t="shared" si="14"/>
        <v>11.043696000000011</v>
      </c>
      <c r="AE9" s="14">
        <f t="shared" si="14"/>
        <v>7.0873920000000226</v>
      </c>
      <c r="AF9" s="14">
        <f t="shared" si="14"/>
        <v>3.131087999999977</v>
      </c>
      <c r="AG9" s="14">
        <f t="shared" ref="AG9:AJ9" si="15">AG8-273.15</f>
        <v>15</v>
      </c>
      <c r="AH9" s="14">
        <f t="shared" si="15"/>
        <v>11.043696000000011</v>
      </c>
      <c r="AI9" s="14">
        <f t="shared" si="15"/>
        <v>7.0873920000000226</v>
      </c>
      <c r="AJ9" s="14">
        <f t="shared" si="15"/>
        <v>3.131087999999977</v>
      </c>
      <c r="AK9" s="10"/>
    </row>
    <row r="10" spans="1:37" x14ac:dyDescent="0.25">
      <c r="A10" s="88"/>
      <c r="B10" s="11" t="s">
        <v>378</v>
      </c>
      <c r="C10" s="11" t="s">
        <v>380</v>
      </c>
      <c r="D10" s="11" t="s">
        <v>379</v>
      </c>
      <c r="E10" s="15">
        <f>101325*(E7/288.15)^(9.80665/(287.05287*0.0065))</f>
        <v>101325</v>
      </c>
      <c r="F10" s="15">
        <f t="shared" ref="F10:X10" si="16">101325*(F7/288.15)^(9.80665/(287.05287*0.0065))</f>
        <v>94223.524255523589</v>
      </c>
      <c r="G10" s="15">
        <f t="shared" si="16"/>
        <v>87530.552279349213</v>
      </c>
      <c r="H10" s="15">
        <f t="shared" si="16"/>
        <v>81227.85875302252</v>
      </c>
      <c r="I10" s="15">
        <f t="shared" si="16"/>
        <v>101325</v>
      </c>
      <c r="J10" s="15">
        <f t="shared" si="16"/>
        <v>94223.524255523589</v>
      </c>
      <c r="K10" s="15">
        <f t="shared" si="16"/>
        <v>87530.552279349213</v>
      </c>
      <c r="L10" s="15">
        <f t="shared" si="16"/>
        <v>81227.85875302252</v>
      </c>
      <c r="M10" s="15">
        <f t="shared" si="16"/>
        <v>101325</v>
      </c>
      <c r="N10" s="15">
        <f t="shared" si="16"/>
        <v>94223.524255523589</v>
      </c>
      <c r="O10" s="15">
        <f t="shared" si="16"/>
        <v>87530.552279349213</v>
      </c>
      <c r="P10" s="15">
        <f t="shared" si="16"/>
        <v>81227.85875302252</v>
      </c>
      <c r="Q10" s="15">
        <f t="shared" si="16"/>
        <v>101325</v>
      </c>
      <c r="R10" s="15">
        <f t="shared" si="16"/>
        <v>94223.524255523589</v>
      </c>
      <c r="S10" s="15">
        <f t="shared" si="16"/>
        <v>87530.552279349213</v>
      </c>
      <c r="T10" s="15">
        <f t="shared" si="16"/>
        <v>81227.85875302252</v>
      </c>
      <c r="U10" s="15">
        <f t="shared" si="16"/>
        <v>101325</v>
      </c>
      <c r="V10" s="15">
        <f t="shared" si="16"/>
        <v>94223.524255523589</v>
      </c>
      <c r="W10" s="15">
        <f t="shared" si="16"/>
        <v>87530.552279349213</v>
      </c>
      <c r="X10" s="15">
        <f t="shared" si="16"/>
        <v>81227.85875302252</v>
      </c>
      <c r="Y10" s="15">
        <f t="shared" ref="Y10:AB10" si="17">101325*(Y7/288.15)^(9.80665/(287.05287*0.0065))</f>
        <v>101325</v>
      </c>
      <c r="Z10" s="15">
        <f t="shared" si="17"/>
        <v>94223.524255523589</v>
      </c>
      <c r="AA10" s="15">
        <f t="shared" si="17"/>
        <v>87530.552279349213</v>
      </c>
      <c r="AB10" s="15">
        <f t="shared" si="17"/>
        <v>81227.85875302252</v>
      </c>
      <c r="AC10" s="15">
        <f t="shared" ref="AC10:AF10" si="18">101325*(AC7/288.15)^(9.80665/(287.05287*0.0065))</f>
        <v>101325</v>
      </c>
      <c r="AD10" s="15">
        <f t="shared" si="18"/>
        <v>94223.524255523589</v>
      </c>
      <c r="AE10" s="15">
        <f t="shared" si="18"/>
        <v>87530.552279349213</v>
      </c>
      <c r="AF10" s="15">
        <f t="shared" si="18"/>
        <v>81227.85875302252</v>
      </c>
      <c r="AG10" s="15">
        <f t="shared" ref="AG10:AJ10" si="19">101325*(AG7/288.15)^(9.80665/(287.05287*0.0065))</f>
        <v>101325</v>
      </c>
      <c r="AH10" s="15">
        <f t="shared" si="19"/>
        <v>94223.524255523589</v>
      </c>
      <c r="AI10" s="15">
        <f t="shared" si="19"/>
        <v>87530.552279349213</v>
      </c>
      <c r="AJ10" s="15">
        <f t="shared" si="19"/>
        <v>81227.85875302252</v>
      </c>
      <c r="AK10" s="10"/>
    </row>
    <row r="11" spans="1:37" x14ac:dyDescent="0.25">
      <c r="A11" s="89"/>
      <c r="B11" s="11" t="s">
        <v>151</v>
      </c>
      <c r="C11" s="11" t="s">
        <v>117</v>
      </c>
      <c r="D11" s="11" t="s">
        <v>110</v>
      </c>
      <c r="E11" s="17">
        <f>E10/(287.05287*E8)</f>
        <v>1.2250000181242879</v>
      </c>
      <c r="F11" s="17">
        <f t="shared" ref="F11:X11" si="20">F10/(287.05287*F8)</f>
        <v>1.1550027297784289</v>
      </c>
      <c r="G11" s="17">
        <f t="shared" si="20"/>
        <v>1.0881072217149308</v>
      </c>
      <c r="H11" s="17">
        <f t="shared" si="20"/>
        <v>1.0242169386514648</v>
      </c>
      <c r="I11" s="17">
        <f t="shared" si="20"/>
        <v>1.2250000181242879</v>
      </c>
      <c r="J11" s="17">
        <f t="shared" si="20"/>
        <v>1.1550027297784289</v>
      </c>
      <c r="K11" s="17">
        <f t="shared" si="20"/>
        <v>1.0881072217149308</v>
      </c>
      <c r="L11" s="17">
        <f t="shared" si="20"/>
        <v>1.0242169386514648</v>
      </c>
      <c r="M11" s="17">
        <f t="shared" si="20"/>
        <v>1.2250000181242879</v>
      </c>
      <c r="N11" s="17">
        <f t="shared" si="20"/>
        <v>1.1550027297784289</v>
      </c>
      <c r="O11" s="17">
        <f t="shared" si="20"/>
        <v>1.0881072217149308</v>
      </c>
      <c r="P11" s="17">
        <f t="shared" si="20"/>
        <v>1.0242169386514648</v>
      </c>
      <c r="Q11" s="17">
        <f t="shared" si="20"/>
        <v>1.2250000181242879</v>
      </c>
      <c r="R11" s="17">
        <f t="shared" si="20"/>
        <v>1.1550027297784289</v>
      </c>
      <c r="S11" s="17">
        <f t="shared" si="20"/>
        <v>1.0881072217149308</v>
      </c>
      <c r="T11" s="17">
        <f t="shared" si="20"/>
        <v>1.0242169386514648</v>
      </c>
      <c r="U11" s="17">
        <f t="shared" si="20"/>
        <v>1.2250000181242879</v>
      </c>
      <c r="V11" s="17">
        <f t="shared" si="20"/>
        <v>1.1550027297784289</v>
      </c>
      <c r="W11" s="17">
        <f t="shared" si="20"/>
        <v>1.0881072217149308</v>
      </c>
      <c r="X11" s="17">
        <f t="shared" si="20"/>
        <v>1.0242169386514648</v>
      </c>
      <c r="Y11" s="17">
        <f t="shared" ref="Y11:AB11" si="21">Y10/(287.05287*Y8)</f>
        <v>1.2250000181242879</v>
      </c>
      <c r="Z11" s="17">
        <f t="shared" si="21"/>
        <v>1.1550027297784289</v>
      </c>
      <c r="AA11" s="17">
        <f t="shared" si="21"/>
        <v>1.0881072217149308</v>
      </c>
      <c r="AB11" s="17">
        <f t="shared" si="21"/>
        <v>1.0242169386514648</v>
      </c>
      <c r="AC11" s="17">
        <f t="shared" ref="AC11:AF11" si="22">AC10/(287.05287*AC8)</f>
        <v>1.2250000181242879</v>
      </c>
      <c r="AD11" s="17">
        <f t="shared" si="22"/>
        <v>1.1550027297784289</v>
      </c>
      <c r="AE11" s="17">
        <f t="shared" si="22"/>
        <v>1.0881072217149308</v>
      </c>
      <c r="AF11" s="17">
        <f t="shared" si="22"/>
        <v>1.0242169386514648</v>
      </c>
      <c r="AG11" s="17">
        <f t="shared" ref="AG11:AJ11" si="23">AG10/(287.05287*AG8)</f>
        <v>1.2250000181242879</v>
      </c>
      <c r="AH11" s="17">
        <f t="shared" si="23"/>
        <v>1.1550027297784289</v>
      </c>
      <c r="AI11" s="17">
        <f t="shared" si="23"/>
        <v>1.0881072217149308</v>
      </c>
      <c r="AJ11" s="17">
        <f t="shared" si="23"/>
        <v>1.0242169386514648</v>
      </c>
      <c r="AK11" s="10"/>
    </row>
    <row r="12" spans="1:37" ht="43.5" x14ac:dyDescent="0.25">
      <c r="A12" s="87" t="s">
        <v>150</v>
      </c>
      <c r="B12" s="11" t="s">
        <v>240</v>
      </c>
      <c r="C12" s="11" t="s">
        <v>242</v>
      </c>
      <c r="D12" s="11"/>
      <c r="E12" s="17">
        <v>2.5000000000000001E-2</v>
      </c>
      <c r="F12" s="17">
        <v>2.5000000000000001E-2</v>
      </c>
      <c r="G12" s="17">
        <v>2.5000000000000001E-2</v>
      </c>
      <c r="H12" s="17">
        <v>2.5000000000000001E-2</v>
      </c>
      <c r="I12" s="17">
        <v>2.5000000000000001E-2</v>
      </c>
      <c r="J12" s="17">
        <v>2.5000000000000001E-2</v>
      </c>
      <c r="K12" s="17">
        <v>2.5000000000000001E-2</v>
      </c>
      <c r="L12" s="17">
        <v>2.5000000000000001E-2</v>
      </c>
      <c r="M12" s="17">
        <v>2.5000000000000001E-2</v>
      </c>
      <c r="N12" s="17">
        <v>2.5000000000000001E-2</v>
      </c>
      <c r="O12" s="17">
        <v>2.5000000000000001E-2</v>
      </c>
      <c r="P12" s="17">
        <v>2.5000000000000001E-2</v>
      </c>
      <c r="Q12" s="17">
        <v>2.5000000000000001E-2</v>
      </c>
      <c r="R12" s="17">
        <v>2.5000000000000001E-2</v>
      </c>
      <c r="S12" s="17">
        <v>2.5000000000000001E-2</v>
      </c>
      <c r="T12" s="17">
        <v>2.5000000000000001E-2</v>
      </c>
      <c r="U12" s="17">
        <v>2.5000000000000001E-2</v>
      </c>
      <c r="V12" s="17">
        <v>2.5000000000000001E-2</v>
      </c>
      <c r="W12" s="17">
        <v>2.5000000000000001E-2</v>
      </c>
      <c r="X12" s="17">
        <v>2.5000000000000001E-2</v>
      </c>
      <c r="Y12" s="17">
        <v>2.5000000000000001E-2</v>
      </c>
      <c r="Z12" s="17">
        <v>2.5000000000000001E-2</v>
      </c>
      <c r="AA12" s="17">
        <v>2.5000000000000001E-2</v>
      </c>
      <c r="AB12" s="17">
        <v>2.5000000000000001E-2</v>
      </c>
      <c r="AC12" s="17">
        <v>2.5000000000000001E-2</v>
      </c>
      <c r="AD12" s="17">
        <v>2.5000000000000001E-2</v>
      </c>
      <c r="AE12" s="17">
        <v>2.5000000000000001E-2</v>
      </c>
      <c r="AF12" s="17">
        <v>2.5000000000000001E-2</v>
      </c>
      <c r="AG12" s="17">
        <v>2.5000000000000001E-2</v>
      </c>
      <c r="AH12" s="17">
        <v>2.5000000000000001E-2</v>
      </c>
      <c r="AI12" s="17">
        <v>2.5000000000000001E-2</v>
      </c>
      <c r="AJ12" s="17">
        <v>2.5000000000000001E-2</v>
      </c>
      <c r="AK12" s="85" t="s">
        <v>358</v>
      </c>
    </row>
    <row r="13" spans="1:37" ht="43.5" x14ac:dyDescent="0.25">
      <c r="A13" s="88"/>
      <c r="B13" s="11" t="s">
        <v>241</v>
      </c>
      <c r="C13" s="11" t="s">
        <v>243</v>
      </c>
      <c r="D13" s="11"/>
      <c r="E13" s="17">
        <v>0.38</v>
      </c>
      <c r="F13" s="17">
        <v>0.38</v>
      </c>
      <c r="G13" s="17">
        <v>0.38</v>
      </c>
      <c r="H13" s="17">
        <v>0.38</v>
      </c>
      <c r="I13" s="17">
        <v>0.38</v>
      </c>
      <c r="J13" s="17">
        <v>0.38</v>
      </c>
      <c r="K13" s="17">
        <v>0.38</v>
      </c>
      <c r="L13" s="17">
        <v>0.38</v>
      </c>
      <c r="M13" s="17">
        <v>0.38</v>
      </c>
      <c r="N13" s="17">
        <v>0.38</v>
      </c>
      <c r="O13" s="17">
        <v>0.38</v>
      </c>
      <c r="P13" s="17">
        <v>0.38</v>
      </c>
      <c r="Q13" s="17">
        <v>0.38</v>
      </c>
      <c r="R13" s="17">
        <v>0.38</v>
      </c>
      <c r="S13" s="17">
        <v>0.38</v>
      </c>
      <c r="T13" s="17">
        <v>0.38</v>
      </c>
      <c r="U13" s="17">
        <v>0.38</v>
      </c>
      <c r="V13" s="17">
        <v>0.38</v>
      </c>
      <c r="W13" s="17">
        <v>0.38</v>
      </c>
      <c r="X13" s="17">
        <v>0.38</v>
      </c>
      <c r="Y13" s="17">
        <v>0.38</v>
      </c>
      <c r="Z13" s="17">
        <v>0.38</v>
      </c>
      <c r="AA13" s="17">
        <v>0.38</v>
      </c>
      <c r="AB13" s="17">
        <v>0.38</v>
      </c>
      <c r="AC13" s="17">
        <v>0.38</v>
      </c>
      <c r="AD13" s="17">
        <v>0.38</v>
      </c>
      <c r="AE13" s="17">
        <v>0.38</v>
      </c>
      <c r="AF13" s="17">
        <v>0.38</v>
      </c>
      <c r="AG13" s="17">
        <v>0.38</v>
      </c>
      <c r="AH13" s="17">
        <v>0.38</v>
      </c>
      <c r="AI13" s="17">
        <v>0.38</v>
      </c>
      <c r="AJ13" s="17">
        <v>0.38</v>
      </c>
      <c r="AK13" s="85" t="s">
        <v>359</v>
      </c>
    </row>
    <row r="14" spans="1:37" x14ac:dyDescent="0.25">
      <c r="A14" s="87" t="s">
        <v>124</v>
      </c>
      <c r="B14" s="92" t="s">
        <v>249</v>
      </c>
      <c r="C14" s="11" t="s">
        <v>259</v>
      </c>
      <c r="D14" s="11" t="s">
        <v>104</v>
      </c>
      <c r="E14" s="35">
        <v>4000</v>
      </c>
      <c r="F14" s="35">
        <v>4000</v>
      </c>
      <c r="G14" s="35">
        <v>4000</v>
      </c>
      <c r="H14" s="35">
        <v>4000</v>
      </c>
      <c r="I14" s="35">
        <v>5000</v>
      </c>
      <c r="J14" s="35">
        <v>5000</v>
      </c>
      <c r="K14" s="35">
        <v>5000</v>
      </c>
      <c r="L14" s="35">
        <v>5000</v>
      </c>
      <c r="M14" s="35">
        <v>6000</v>
      </c>
      <c r="N14" s="35">
        <v>6000</v>
      </c>
      <c r="O14" s="35">
        <v>6000</v>
      </c>
      <c r="P14" s="35">
        <v>6000</v>
      </c>
      <c r="Q14" s="35">
        <v>7000</v>
      </c>
      <c r="R14" s="35">
        <v>7000</v>
      </c>
      <c r="S14" s="35">
        <v>7000</v>
      </c>
      <c r="T14" s="35">
        <v>7000</v>
      </c>
      <c r="U14" s="35">
        <v>4000</v>
      </c>
      <c r="V14" s="35">
        <v>4000</v>
      </c>
      <c r="W14" s="35">
        <v>4000</v>
      </c>
      <c r="X14" s="35">
        <v>4000</v>
      </c>
      <c r="Y14" s="35">
        <v>5000</v>
      </c>
      <c r="Z14" s="35">
        <v>5000</v>
      </c>
      <c r="AA14" s="35">
        <v>5000</v>
      </c>
      <c r="AB14" s="35">
        <v>5000</v>
      </c>
      <c r="AC14" s="35">
        <v>6000</v>
      </c>
      <c r="AD14" s="35">
        <v>6000</v>
      </c>
      <c r="AE14" s="35">
        <v>6000</v>
      </c>
      <c r="AF14" s="35">
        <v>6000</v>
      </c>
      <c r="AG14" s="35">
        <v>7000</v>
      </c>
      <c r="AH14" s="35">
        <v>7000</v>
      </c>
      <c r="AI14" s="35">
        <v>7000</v>
      </c>
      <c r="AJ14" s="35">
        <v>7000</v>
      </c>
      <c r="AK14" s="10" t="s">
        <v>265</v>
      </c>
    </row>
    <row r="15" spans="1:37" x14ac:dyDescent="0.25">
      <c r="A15" s="88"/>
      <c r="B15" s="93"/>
      <c r="C15" s="11" t="s">
        <v>260</v>
      </c>
      <c r="D15" s="11" t="s">
        <v>10</v>
      </c>
      <c r="E15" s="15">
        <f t="shared" ref="E15:X15" si="24">E14*CONVERT(1,"lbm","kg")</f>
        <v>1814.3694800000001</v>
      </c>
      <c r="F15" s="15">
        <f t="shared" si="24"/>
        <v>1814.3694800000001</v>
      </c>
      <c r="G15" s="15">
        <f t="shared" si="24"/>
        <v>1814.3694800000001</v>
      </c>
      <c r="H15" s="15">
        <f t="shared" si="24"/>
        <v>1814.3694800000001</v>
      </c>
      <c r="I15" s="15">
        <f t="shared" ref="I15:L15" si="25">I14*CONVERT(1,"lbm","kg")</f>
        <v>2267.9618500000001</v>
      </c>
      <c r="J15" s="15">
        <f t="shared" si="25"/>
        <v>2267.9618500000001</v>
      </c>
      <c r="K15" s="15">
        <f t="shared" si="25"/>
        <v>2267.9618500000001</v>
      </c>
      <c r="L15" s="15">
        <f t="shared" si="25"/>
        <v>2267.9618500000001</v>
      </c>
      <c r="M15" s="15">
        <f t="shared" ref="M15:P15" si="26">M14*CONVERT(1,"lbm","kg")</f>
        <v>2721.55422</v>
      </c>
      <c r="N15" s="15">
        <f t="shared" si="26"/>
        <v>2721.55422</v>
      </c>
      <c r="O15" s="15">
        <f t="shared" si="26"/>
        <v>2721.55422</v>
      </c>
      <c r="P15" s="15">
        <f t="shared" si="26"/>
        <v>2721.55422</v>
      </c>
      <c r="Q15" s="15">
        <f t="shared" ref="Q15:T15" si="27">Q14*CONVERT(1,"lbm","kg")</f>
        <v>3175.1465900000003</v>
      </c>
      <c r="R15" s="15">
        <f t="shared" si="27"/>
        <v>3175.1465900000003</v>
      </c>
      <c r="S15" s="15">
        <f t="shared" si="27"/>
        <v>3175.1465900000003</v>
      </c>
      <c r="T15" s="15">
        <f t="shared" si="27"/>
        <v>3175.1465900000003</v>
      </c>
      <c r="U15" s="15">
        <f t="shared" si="24"/>
        <v>1814.3694800000001</v>
      </c>
      <c r="V15" s="15">
        <f t="shared" si="24"/>
        <v>1814.3694800000001</v>
      </c>
      <c r="W15" s="15">
        <f t="shared" si="24"/>
        <v>1814.3694800000001</v>
      </c>
      <c r="X15" s="15">
        <f t="shared" si="24"/>
        <v>1814.3694800000001</v>
      </c>
      <c r="Y15" s="15">
        <f t="shared" ref="Y15:AB15" si="28">Y14*CONVERT(1,"lbm","kg")</f>
        <v>2267.9618500000001</v>
      </c>
      <c r="Z15" s="15">
        <f t="shared" si="28"/>
        <v>2267.9618500000001</v>
      </c>
      <c r="AA15" s="15">
        <f t="shared" si="28"/>
        <v>2267.9618500000001</v>
      </c>
      <c r="AB15" s="15">
        <f t="shared" si="28"/>
        <v>2267.9618500000001</v>
      </c>
      <c r="AC15" s="15">
        <f t="shared" ref="AC15:AF15" si="29">AC14*CONVERT(1,"lbm","kg")</f>
        <v>2721.55422</v>
      </c>
      <c r="AD15" s="15">
        <f t="shared" si="29"/>
        <v>2721.55422</v>
      </c>
      <c r="AE15" s="15">
        <f t="shared" si="29"/>
        <v>2721.55422</v>
      </c>
      <c r="AF15" s="15">
        <f t="shared" si="29"/>
        <v>2721.55422</v>
      </c>
      <c r="AG15" s="15">
        <f t="shared" ref="AG15:AJ15" si="30">AG14*CONVERT(1,"lbm","kg")</f>
        <v>3175.1465900000003</v>
      </c>
      <c r="AH15" s="15">
        <f t="shared" si="30"/>
        <v>3175.1465900000003</v>
      </c>
      <c r="AI15" s="15">
        <f t="shared" si="30"/>
        <v>3175.1465900000003</v>
      </c>
      <c r="AJ15" s="15">
        <f t="shared" si="30"/>
        <v>3175.1465900000003</v>
      </c>
      <c r="AK15" s="10"/>
    </row>
    <row r="16" spans="1:37" x14ac:dyDescent="0.25">
      <c r="A16" s="88"/>
      <c r="B16" s="94"/>
      <c r="C16" s="11" t="s">
        <v>261</v>
      </c>
      <c r="D16" s="11" t="s">
        <v>109</v>
      </c>
      <c r="E16" s="15">
        <f>E15*E3</f>
        <v>17792.886461041999</v>
      </c>
      <c r="F16" s="15">
        <f>F15*F3</f>
        <v>17792.886461041999</v>
      </c>
      <c r="G16" s="15">
        <f>G15*G3</f>
        <v>17792.886461041999</v>
      </c>
      <c r="H16" s="15">
        <f>H15*H3</f>
        <v>17792.886461041999</v>
      </c>
      <c r="I16" s="15">
        <f t="shared" ref="I16" si="31">I15*I3</f>
        <v>22241.108076302498</v>
      </c>
      <c r="J16" s="15">
        <f t="shared" ref="J16" si="32">J15*J3</f>
        <v>22241.108076302498</v>
      </c>
      <c r="K16" s="15">
        <f t="shared" ref="K16" si="33">K15*K3</f>
        <v>22241.108076302498</v>
      </c>
      <c r="L16" s="15">
        <f t="shared" ref="L16" si="34">L15*L3</f>
        <v>22241.108076302498</v>
      </c>
      <c r="M16" s="15">
        <f t="shared" ref="M16" si="35">M15*M3</f>
        <v>26689.329691562998</v>
      </c>
      <c r="N16" s="15">
        <f t="shared" ref="N16" si="36">N15*N3</f>
        <v>26689.329691562998</v>
      </c>
      <c r="O16" s="15">
        <f t="shared" ref="O16" si="37">O15*O3</f>
        <v>26689.329691562998</v>
      </c>
      <c r="P16" s="15">
        <f t="shared" ref="P16" si="38">P15*P3</f>
        <v>26689.329691562998</v>
      </c>
      <c r="Q16" s="15">
        <f t="shared" ref="Q16" si="39">Q15*Q3</f>
        <v>31137.551306823501</v>
      </c>
      <c r="R16" s="15">
        <f t="shared" ref="R16" si="40">R15*R3</f>
        <v>31137.551306823501</v>
      </c>
      <c r="S16" s="15">
        <f t="shared" ref="S16" si="41">S15*S3</f>
        <v>31137.551306823501</v>
      </c>
      <c r="T16" s="15">
        <f t="shared" ref="T16" si="42">T15*T3</f>
        <v>31137.551306823501</v>
      </c>
      <c r="U16" s="15">
        <f>U15*U3</f>
        <v>17792.886461041999</v>
      </c>
      <c r="V16" s="15">
        <f>V15*V3</f>
        <v>17792.886461041999</v>
      </c>
      <c r="W16" s="15">
        <f>W15*W3</f>
        <v>17792.886461041999</v>
      </c>
      <c r="X16" s="15">
        <f>X15*X3</f>
        <v>17792.886461041999</v>
      </c>
      <c r="Y16" s="15">
        <f>Y15*Y3</f>
        <v>22241.108076302498</v>
      </c>
      <c r="Z16" s="15">
        <f>Z15*Z3</f>
        <v>22241.108076302498</v>
      </c>
      <c r="AA16" s="15">
        <f>AA15*AA3</f>
        <v>22241.108076302498</v>
      </c>
      <c r="AB16" s="15">
        <f>AB15*AB3</f>
        <v>22241.108076302498</v>
      </c>
      <c r="AC16" s="15">
        <f>AC15*AC3</f>
        <v>26689.329691562998</v>
      </c>
      <c r="AD16" s="15">
        <f>AD15*AD3</f>
        <v>26689.329691562998</v>
      </c>
      <c r="AE16" s="15">
        <f>AE15*AE3</f>
        <v>26689.329691562998</v>
      </c>
      <c r="AF16" s="15">
        <f>AF15*AF3</f>
        <v>26689.329691562998</v>
      </c>
      <c r="AG16" s="15">
        <f>AG15*AG3</f>
        <v>31137.551306823501</v>
      </c>
      <c r="AH16" s="15">
        <f>AH15*AH3</f>
        <v>31137.551306823501</v>
      </c>
      <c r="AI16" s="15">
        <f>AI15*AI3</f>
        <v>31137.551306823501</v>
      </c>
      <c r="AJ16" s="15">
        <f>AJ15*AJ3</f>
        <v>31137.551306823501</v>
      </c>
      <c r="AK16" s="10"/>
    </row>
    <row r="17" spans="1:37" x14ac:dyDescent="0.25">
      <c r="A17" s="88"/>
      <c r="B17" s="92" t="s">
        <v>250</v>
      </c>
      <c r="C17" s="11" t="s">
        <v>262</v>
      </c>
      <c r="D17" s="11" t="s">
        <v>104</v>
      </c>
      <c r="E17" s="35">
        <v>4000</v>
      </c>
      <c r="F17" s="35">
        <v>4000</v>
      </c>
      <c r="G17" s="35">
        <v>4000</v>
      </c>
      <c r="H17" s="35">
        <v>4000</v>
      </c>
      <c r="I17" s="35">
        <v>5000</v>
      </c>
      <c r="J17" s="35">
        <v>5000</v>
      </c>
      <c r="K17" s="35">
        <v>5000</v>
      </c>
      <c r="L17" s="35">
        <v>5000</v>
      </c>
      <c r="M17" s="35">
        <v>6000</v>
      </c>
      <c r="N17" s="35">
        <v>6000</v>
      </c>
      <c r="O17" s="35">
        <v>6000</v>
      </c>
      <c r="P17" s="35">
        <v>6000</v>
      </c>
      <c r="Q17" s="35">
        <v>7000</v>
      </c>
      <c r="R17" s="35">
        <v>7000</v>
      </c>
      <c r="S17" s="35">
        <v>7000</v>
      </c>
      <c r="T17" s="35">
        <v>7000</v>
      </c>
      <c r="U17" s="35">
        <v>4000</v>
      </c>
      <c r="V17" s="35">
        <v>4000</v>
      </c>
      <c r="W17" s="35">
        <v>4000</v>
      </c>
      <c r="X17" s="35">
        <v>4000</v>
      </c>
      <c r="Y17" s="35">
        <v>5000</v>
      </c>
      <c r="Z17" s="35">
        <v>5000</v>
      </c>
      <c r="AA17" s="35">
        <v>5000</v>
      </c>
      <c r="AB17" s="35">
        <v>5000</v>
      </c>
      <c r="AC17" s="35">
        <v>6000</v>
      </c>
      <c r="AD17" s="35">
        <v>6000</v>
      </c>
      <c r="AE17" s="35">
        <v>6000</v>
      </c>
      <c r="AF17" s="35">
        <v>6000</v>
      </c>
      <c r="AG17" s="35">
        <v>7000</v>
      </c>
      <c r="AH17" s="35">
        <v>7000</v>
      </c>
      <c r="AI17" s="35">
        <v>7000</v>
      </c>
      <c r="AJ17" s="35">
        <v>7000</v>
      </c>
      <c r="AK17" s="10" t="s">
        <v>266</v>
      </c>
    </row>
    <row r="18" spans="1:37" x14ac:dyDescent="0.25">
      <c r="A18" s="88"/>
      <c r="B18" s="93"/>
      <c r="C18" s="11" t="s">
        <v>263</v>
      </c>
      <c r="D18" s="11" t="s">
        <v>10</v>
      </c>
      <c r="E18" s="15">
        <f t="shared" ref="E18:X18" si="43">E17*CONVERT(1,"lbm","kg")</f>
        <v>1814.3694800000001</v>
      </c>
      <c r="F18" s="15">
        <f t="shared" si="43"/>
        <v>1814.3694800000001</v>
      </c>
      <c r="G18" s="15">
        <f t="shared" si="43"/>
        <v>1814.3694800000001</v>
      </c>
      <c r="H18" s="15">
        <f t="shared" si="43"/>
        <v>1814.3694800000001</v>
      </c>
      <c r="I18" s="15">
        <f t="shared" ref="I18:L18" si="44">I17*CONVERT(1,"lbm","kg")</f>
        <v>2267.9618500000001</v>
      </c>
      <c r="J18" s="15">
        <f t="shared" si="44"/>
        <v>2267.9618500000001</v>
      </c>
      <c r="K18" s="15">
        <f t="shared" si="44"/>
        <v>2267.9618500000001</v>
      </c>
      <c r="L18" s="15">
        <f t="shared" si="44"/>
        <v>2267.9618500000001</v>
      </c>
      <c r="M18" s="15">
        <f t="shared" ref="M18:P18" si="45">M17*CONVERT(1,"lbm","kg")</f>
        <v>2721.55422</v>
      </c>
      <c r="N18" s="15">
        <f t="shared" si="45"/>
        <v>2721.55422</v>
      </c>
      <c r="O18" s="15">
        <f t="shared" si="45"/>
        <v>2721.55422</v>
      </c>
      <c r="P18" s="15">
        <f t="shared" si="45"/>
        <v>2721.55422</v>
      </c>
      <c r="Q18" s="15">
        <f t="shared" ref="Q18:T18" si="46">Q17*CONVERT(1,"lbm","kg")</f>
        <v>3175.1465900000003</v>
      </c>
      <c r="R18" s="15">
        <f t="shared" si="46"/>
        <v>3175.1465900000003</v>
      </c>
      <c r="S18" s="15">
        <f t="shared" si="46"/>
        <v>3175.1465900000003</v>
      </c>
      <c r="T18" s="15">
        <f t="shared" si="46"/>
        <v>3175.1465900000003</v>
      </c>
      <c r="U18" s="15">
        <f t="shared" si="43"/>
        <v>1814.3694800000001</v>
      </c>
      <c r="V18" s="15">
        <f t="shared" si="43"/>
        <v>1814.3694800000001</v>
      </c>
      <c r="W18" s="15">
        <f t="shared" si="43"/>
        <v>1814.3694800000001</v>
      </c>
      <c r="X18" s="15">
        <f t="shared" si="43"/>
        <v>1814.3694800000001</v>
      </c>
      <c r="Y18" s="15">
        <f t="shared" ref="Y18:AB18" si="47">Y17*CONVERT(1,"lbm","kg")</f>
        <v>2267.9618500000001</v>
      </c>
      <c r="Z18" s="15">
        <f t="shared" si="47"/>
        <v>2267.9618500000001</v>
      </c>
      <c r="AA18" s="15">
        <f t="shared" si="47"/>
        <v>2267.9618500000001</v>
      </c>
      <c r="AB18" s="15">
        <f t="shared" si="47"/>
        <v>2267.9618500000001</v>
      </c>
      <c r="AC18" s="15">
        <f t="shared" ref="AC18:AF18" si="48">AC17*CONVERT(1,"lbm","kg")</f>
        <v>2721.55422</v>
      </c>
      <c r="AD18" s="15">
        <f t="shared" si="48"/>
        <v>2721.55422</v>
      </c>
      <c r="AE18" s="15">
        <f t="shared" si="48"/>
        <v>2721.55422</v>
      </c>
      <c r="AF18" s="15">
        <f t="shared" si="48"/>
        <v>2721.55422</v>
      </c>
      <c r="AG18" s="15">
        <f t="shared" ref="AG18:AJ18" si="49">AG17*CONVERT(1,"lbm","kg")</f>
        <v>3175.1465900000003</v>
      </c>
      <c r="AH18" s="15">
        <f t="shared" si="49"/>
        <v>3175.1465900000003</v>
      </c>
      <c r="AI18" s="15">
        <f t="shared" si="49"/>
        <v>3175.1465900000003</v>
      </c>
      <c r="AJ18" s="15">
        <f t="shared" si="49"/>
        <v>3175.1465900000003</v>
      </c>
      <c r="AK18" s="10"/>
    </row>
    <row r="19" spans="1:37" x14ac:dyDescent="0.25">
      <c r="A19" s="89"/>
      <c r="B19" s="94"/>
      <c r="C19" s="11" t="s">
        <v>264</v>
      </c>
      <c r="D19" s="11" t="s">
        <v>109</v>
      </c>
      <c r="E19" s="15">
        <f>E18*E3</f>
        <v>17792.886461041999</v>
      </c>
      <c r="F19" s="15">
        <f>F18*F3</f>
        <v>17792.886461041999</v>
      </c>
      <c r="G19" s="15">
        <f>G18*G3</f>
        <v>17792.886461041999</v>
      </c>
      <c r="H19" s="15">
        <f>H18*H3</f>
        <v>17792.886461041999</v>
      </c>
      <c r="I19" s="15">
        <f t="shared" ref="I19" si="50">I18*I3</f>
        <v>22241.108076302498</v>
      </c>
      <c r="J19" s="15">
        <f t="shared" ref="J19" si="51">J18*J3</f>
        <v>22241.108076302498</v>
      </c>
      <c r="K19" s="15">
        <f t="shared" ref="K19" si="52">K18*K3</f>
        <v>22241.108076302498</v>
      </c>
      <c r="L19" s="15">
        <f t="shared" ref="L19" si="53">L18*L3</f>
        <v>22241.108076302498</v>
      </c>
      <c r="M19" s="15">
        <f t="shared" ref="M19" si="54">M18*M3</f>
        <v>26689.329691562998</v>
      </c>
      <c r="N19" s="15">
        <f t="shared" ref="N19" si="55">N18*N3</f>
        <v>26689.329691562998</v>
      </c>
      <c r="O19" s="15">
        <f t="shared" ref="O19" si="56">O18*O3</f>
        <v>26689.329691562998</v>
      </c>
      <c r="P19" s="15">
        <f t="shared" ref="P19" si="57">P18*P3</f>
        <v>26689.329691562998</v>
      </c>
      <c r="Q19" s="15">
        <f t="shared" ref="Q19" si="58">Q18*Q3</f>
        <v>31137.551306823501</v>
      </c>
      <c r="R19" s="15">
        <f t="shared" ref="R19" si="59">R18*R3</f>
        <v>31137.551306823501</v>
      </c>
      <c r="S19" s="15">
        <f t="shared" ref="S19" si="60">S18*S3</f>
        <v>31137.551306823501</v>
      </c>
      <c r="T19" s="15">
        <f t="shared" ref="T19" si="61">T18*T3</f>
        <v>31137.551306823501</v>
      </c>
      <c r="U19" s="15">
        <f>U18*U3</f>
        <v>17792.886461041999</v>
      </c>
      <c r="V19" s="15">
        <f>V18*V3</f>
        <v>17792.886461041999</v>
      </c>
      <c r="W19" s="15">
        <f>W18*W3</f>
        <v>17792.886461041999</v>
      </c>
      <c r="X19" s="15">
        <f>X18*X3</f>
        <v>17792.886461041999</v>
      </c>
      <c r="Y19" s="15">
        <f>Y18*Y3</f>
        <v>22241.108076302498</v>
      </c>
      <c r="Z19" s="15">
        <f>Z18*Z3</f>
        <v>22241.108076302498</v>
      </c>
      <c r="AA19" s="15">
        <f>AA18*AA3</f>
        <v>22241.108076302498</v>
      </c>
      <c r="AB19" s="15">
        <f>AB18*AB3</f>
        <v>22241.108076302498</v>
      </c>
      <c r="AC19" s="15">
        <f>AC18*AC3</f>
        <v>26689.329691562998</v>
      </c>
      <c r="AD19" s="15">
        <f>AD18*AD3</f>
        <v>26689.329691562998</v>
      </c>
      <c r="AE19" s="15">
        <f>AE18*AE3</f>
        <v>26689.329691562998</v>
      </c>
      <c r="AF19" s="15">
        <f>AF18*AF3</f>
        <v>26689.329691562998</v>
      </c>
      <c r="AG19" s="15">
        <f>AG18*AG3</f>
        <v>31137.551306823501</v>
      </c>
      <c r="AH19" s="15">
        <f>AH18*AH3</f>
        <v>31137.551306823501</v>
      </c>
      <c r="AI19" s="15">
        <f>AI18*AI3</f>
        <v>31137.551306823501</v>
      </c>
      <c r="AJ19" s="15">
        <f>AJ18*AJ3</f>
        <v>31137.551306823501</v>
      </c>
      <c r="AK19" s="10"/>
    </row>
    <row r="20" spans="1:37" x14ac:dyDescent="0.25">
      <c r="A20" s="87"/>
      <c r="B20" s="90" t="s">
        <v>252</v>
      </c>
      <c r="C20" s="11" t="s">
        <v>254</v>
      </c>
      <c r="D20" s="11" t="s">
        <v>105</v>
      </c>
      <c r="E20" s="14">
        <f t="shared" ref="E20:AJ20" si="62">CONVERT(1,"m/sec","kn")*E21</f>
        <v>42.971727339738806</v>
      </c>
      <c r="F20" s="14">
        <f t="shared" si="62"/>
        <v>44.254695171884698</v>
      </c>
      <c r="G20" s="14">
        <f t="shared" si="62"/>
        <v>45.594768252710352</v>
      </c>
      <c r="H20" s="14">
        <f t="shared" si="62"/>
        <v>46.99534930922723</v>
      </c>
      <c r="I20" s="14">
        <f t="shared" ref="I20" si="63">CONVERT(1,"m/sec","kn")*I21</f>
        <v>48.043851721121086</v>
      </c>
      <c r="J20" s="14">
        <f t="shared" ref="J20" si="64">CONVERT(1,"m/sec","kn")*J21</f>
        <v>49.478253363932964</v>
      </c>
      <c r="K20" s="14">
        <f t="shared" ref="K20" si="65">CONVERT(1,"m/sec","kn")*K21</f>
        <v>50.976500615704829</v>
      </c>
      <c r="L20" s="14">
        <f t="shared" ref="L20" si="66">CONVERT(1,"m/sec","kn")*L21</f>
        <v>52.542397840889933</v>
      </c>
      <c r="M20" s="14">
        <f t="shared" ref="M20" si="67">CONVERT(1,"m/sec","kn")*M21</f>
        <v>52.629402674182835</v>
      </c>
      <c r="N20" s="14">
        <f t="shared" ref="N20" si="68">CONVERT(1,"m/sec","kn")*N21</f>
        <v>54.200710946763905</v>
      </c>
      <c r="O20" s="14">
        <f t="shared" ref="O20" si="69">CONVERT(1,"m/sec","kn")*O21</f>
        <v>55.841958579795048</v>
      </c>
      <c r="P20" s="14">
        <f t="shared" ref="P20" si="70">CONVERT(1,"m/sec","kn")*P21</f>
        <v>57.557313045732307</v>
      </c>
      <c r="Q20" s="14">
        <f t="shared" ref="Q20" si="71">CONVERT(1,"m/sec","kn")*Q21</f>
        <v>56.846251973912032</v>
      </c>
      <c r="R20" s="14">
        <f t="shared" ref="R20" si="72">CONVERT(1,"m/sec","kn")*R21</f>
        <v>58.543458885888882</v>
      </c>
      <c r="S20" s="14">
        <f t="shared" ref="S20" si="73">CONVERT(1,"m/sec","kn")*S21</f>
        <v>60.316208941147295</v>
      </c>
      <c r="T20" s="14">
        <f t="shared" ref="T20" si="74">CONVERT(1,"m/sec","kn")*T21</f>
        <v>62.169003524413178</v>
      </c>
      <c r="U20" s="14">
        <f t="shared" si="62"/>
        <v>39.824747144762796</v>
      </c>
      <c r="V20" s="14">
        <f t="shared" si="62"/>
        <v>41.013758447615984</v>
      </c>
      <c r="W20" s="14">
        <f t="shared" si="62"/>
        <v>42.255692968363824</v>
      </c>
      <c r="X20" s="14">
        <f t="shared" si="62"/>
        <v>43.553704239601409</v>
      </c>
      <c r="Y20" s="14">
        <f t="shared" si="62"/>
        <v>44.525420901215142</v>
      </c>
      <c r="Z20" s="14">
        <f t="shared" si="62"/>
        <v>45.854775950812794</v>
      </c>
      <c r="AA20" s="14">
        <f t="shared" si="62"/>
        <v>47.243300956810685</v>
      </c>
      <c r="AB20" s="14">
        <f t="shared" si="62"/>
        <v>48.694521675834764</v>
      </c>
      <c r="AC20" s="14">
        <f t="shared" si="62"/>
        <v>48.775154820015068</v>
      </c>
      <c r="AD20" s="14">
        <f t="shared" si="62"/>
        <v>50.231390315211144</v>
      </c>
      <c r="AE20" s="14">
        <f t="shared" si="62"/>
        <v>51.752443250101216</v>
      </c>
      <c r="AF20" s="14">
        <f t="shared" si="62"/>
        <v>53.342175897557937</v>
      </c>
      <c r="AG20" s="14">
        <f t="shared" si="62"/>
        <v>52.683188485535993</v>
      </c>
      <c r="AH20" s="14">
        <f t="shared" si="62"/>
        <v>54.256102592233212</v>
      </c>
      <c r="AI20" s="14">
        <f t="shared" si="62"/>
        <v>55.899027535495691</v>
      </c>
      <c r="AJ20" s="14">
        <f t="shared" si="62"/>
        <v>57.616135046822421</v>
      </c>
      <c r="AK20" s="10" t="s">
        <v>248</v>
      </c>
    </row>
    <row r="21" spans="1:37" x14ac:dyDescent="0.25">
      <c r="A21" s="88"/>
      <c r="B21" s="91"/>
      <c r="C21" s="11" t="s">
        <v>255</v>
      </c>
      <c r="D21" s="11" t="s">
        <v>19</v>
      </c>
      <c r="E21" s="14">
        <f t="shared" ref="E21:X21" si="75">SQRT(E16/(0.5*E11*E30*E39))</f>
        <v>22.106566398110076</v>
      </c>
      <c r="F21" s="14">
        <f t="shared" si="75"/>
        <v>22.766582071758464</v>
      </c>
      <c r="G21" s="14">
        <f t="shared" si="75"/>
        <v>23.455975223338772</v>
      </c>
      <c r="H21" s="14">
        <f t="shared" si="75"/>
        <v>24.176496366858011</v>
      </c>
      <c r="I21" s="14">
        <f t="shared" si="75"/>
        <v>24.715892607643404</v>
      </c>
      <c r="J21" s="14">
        <f t="shared" si="75"/>
        <v>25.453812563889961</v>
      </c>
      <c r="K21" s="14">
        <f t="shared" si="75"/>
        <v>26.224577538968152</v>
      </c>
      <c r="L21" s="14">
        <f t="shared" si="75"/>
        <v>27.0301446670356</v>
      </c>
      <c r="M21" s="14">
        <f t="shared" si="75"/>
        <v>27.074903820162948</v>
      </c>
      <c r="N21" s="14">
        <f t="shared" si="75"/>
        <v>27.883254631501877</v>
      </c>
      <c r="O21" s="14">
        <f t="shared" si="75"/>
        <v>28.727585358272343</v>
      </c>
      <c r="P21" s="14">
        <f t="shared" si="75"/>
        <v>29.610039933526732</v>
      </c>
      <c r="Q21" s="14">
        <f t="shared" si="75"/>
        <v>29.24423851546808</v>
      </c>
      <c r="R21" s="14">
        <f t="shared" si="75"/>
        <v>30.117357182407282</v>
      </c>
      <c r="S21" s="14">
        <f t="shared" si="75"/>
        <v>31.029338599723555</v>
      </c>
      <c r="T21" s="14">
        <f t="shared" si="75"/>
        <v>31.982498479781448</v>
      </c>
      <c r="U21" s="14">
        <f t="shared" si="75"/>
        <v>20.487619920027974</v>
      </c>
      <c r="V21" s="14">
        <f t="shared" si="75"/>
        <v>21.099300179162448</v>
      </c>
      <c r="W21" s="14">
        <f t="shared" si="75"/>
        <v>21.738206493724945</v>
      </c>
      <c r="X21" s="14">
        <f t="shared" si="75"/>
        <v>22.405961181039391</v>
      </c>
      <c r="Y21" s="14">
        <f t="shared" ref="Y21:AB21" si="76">SQRT(Y16/(0.5*Y11*Y30*Y39))</f>
        <v>22.905855419180678</v>
      </c>
      <c r="Z21" s="14">
        <f t="shared" si="76"/>
        <v>23.589734739140361</v>
      </c>
      <c r="AA21" s="14">
        <f t="shared" si="76"/>
        <v>24.304053714448166</v>
      </c>
      <c r="AB21" s="14">
        <f t="shared" si="76"/>
        <v>25.050626151012775</v>
      </c>
      <c r="AC21" s="14">
        <f t="shared" ref="AC21:AF21" si="77">SQRT(AC16/(0.5*AC11*AC30*AC39))</f>
        <v>25.09210742407442</v>
      </c>
      <c r="AD21" s="14">
        <f t="shared" si="77"/>
        <v>25.841259684380844</v>
      </c>
      <c r="AE21" s="14">
        <f t="shared" si="77"/>
        <v>26.623756916440961</v>
      </c>
      <c r="AF21" s="14">
        <f t="shared" si="77"/>
        <v>27.441586045077027</v>
      </c>
      <c r="AG21" s="14">
        <f t="shared" ref="AG21:AJ21" si="78">SQRT(AG16/(0.5*AG11*AG30*AG39))</f>
        <v>27.102573632003519</v>
      </c>
      <c r="AH21" s="14">
        <f t="shared" si="78"/>
        <v>27.911750555782199</v>
      </c>
      <c r="AI21" s="14">
        <f t="shared" si="78"/>
        <v>28.756944165482786</v>
      </c>
      <c r="AJ21" s="14">
        <f t="shared" si="78"/>
        <v>29.640300585198649</v>
      </c>
      <c r="AK21" s="10" t="s">
        <v>258</v>
      </c>
    </row>
    <row r="22" spans="1:37" x14ac:dyDescent="0.25">
      <c r="A22" s="88"/>
      <c r="B22" s="90" t="s">
        <v>253</v>
      </c>
      <c r="C22" s="11" t="s">
        <v>256</v>
      </c>
      <c r="D22" s="11" t="s">
        <v>105</v>
      </c>
      <c r="E22" s="14">
        <f t="shared" ref="E22:AJ22" si="79">CONVERT(1,"m/sec","kn")*E23</f>
        <v>42.971727339738806</v>
      </c>
      <c r="F22" s="14">
        <f t="shared" si="79"/>
        <v>44.254695171884698</v>
      </c>
      <c r="G22" s="14">
        <f t="shared" si="79"/>
        <v>45.594768252710352</v>
      </c>
      <c r="H22" s="14">
        <f t="shared" si="79"/>
        <v>46.99534930922723</v>
      </c>
      <c r="I22" s="14">
        <f t="shared" ref="I22" si="80">CONVERT(1,"m/sec","kn")*I23</f>
        <v>48.043851721121086</v>
      </c>
      <c r="J22" s="14">
        <f t="shared" ref="J22" si="81">CONVERT(1,"m/sec","kn")*J23</f>
        <v>49.478253363932964</v>
      </c>
      <c r="K22" s="14">
        <f t="shared" ref="K22" si="82">CONVERT(1,"m/sec","kn")*K23</f>
        <v>50.976500615704829</v>
      </c>
      <c r="L22" s="14">
        <f t="shared" ref="L22" si="83">CONVERT(1,"m/sec","kn")*L23</f>
        <v>52.542397840889933</v>
      </c>
      <c r="M22" s="14">
        <f t="shared" ref="M22" si="84">CONVERT(1,"m/sec","kn")*M23</f>
        <v>52.629402674182835</v>
      </c>
      <c r="N22" s="14">
        <f t="shared" ref="N22" si="85">CONVERT(1,"m/sec","kn")*N23</f>
        <v>54.200710946763905</v>
      </c>
      <c r="O22" s="14">
        <f t="shared" ref="O22" si="86">CONVERT(1,"m/sec","kn")*O23</f>
        <v>55.841958579795048</v>
      </c>
      <c r="P22" s="14">
        <f t="shared" ref="P22" si="87">CONVERT(1,"m/sec","kn")*P23</f>
        <v>57.557313045732307</v>
      </c>
      <c r="Q22" s="14">
        <f t="shared" ref="Q22" si="88">CONVERT(1,"m/sec","kn")*Q23</f>
        <v>56.846251973912032</v>
      </c>
      <c r="R22" s="14">
        <f t="shared" ref="R22" si="89">CONVERT(1,"m/sec","kn")*R23</f>
        <v>58.543458885888882</v>
      </c>
      <c r="S22" s="14">
        <f t="shared" ref="S22" si="90">CONVERT(1,"m/sec","kn")*S23</f>
        <v>60.316208941147295</v>
      </c>
      <c r="T22" s="14">
        <f t="shared" ref="T22" si="91">CONVERT(1,"m/sec","kn")*T23</f>
        <v>62.169003524413178</v>
      </c>
      <c r="U22" s="14">
        <f t="shared" si="79"/>
        <v>39.824747144762796</v>
      </c>
      <c r="V22" s="14">
        <f t="shared" si="79"/>
        <v>41.013758447615984</v>
      </c>
      <c r="W22" s="14">
        <f t="shared" si="79"/>
        <v>42.255692968363824</v>
      </c>
      <c r="X22" s="14">
        <f t="shared" si="79"/>
        <v>43.553704239601409</v>
      </c>
      <c r="Y22" s="14">
        <f t="shared" si="79"/>
        <v>44.525420901215142</v>
      </c>
      <c r="Z22" s="14">
        <f t="shared" si="79"/>
        <v>45.854775950812794</v>
      </c>
      <c r="AA22" s="14">
        <f t="shared" si="79"/>
        <v>47.243300956810685</v>
      </c>
      <c r="AB22" s="14">
        <f t="shared" si="79"/>
        <v>48.694521675834764</v>
      </c>
      <c r="AC22" s="14">
        <f t="shared" si="79"/>
        <v>48.775154820015068</v>
      </c>
      <c r="AD22" s="14">
        <f t="shared" si="79"/>
        <v>50.231390315211144</v>
      </c>
      <c r="AE22" s="14">
        <f t="shared" si="79"/>
        <v>51.752443250101216</v>
      </c>
      <c r="AF22" s="14">
        <f t="shared" si="79"/>
        <v>53.342175897557937</v>
      </c>
      <c r="AG22" s="14">
        <f t="shared" si="79"/>
        <v>52.683188485535993</v>
      </c>
      <c r="AH22" s="14">
        <f t="shared" si="79"/>
        <v>54.256102592233212</v>
      </c>
      <c r="AI22" s="14">
        <f t="shared" si="79"/>
        <v>55.899027535495691</v>
      </c>
      <c r="AJ22" s="14">
        <f t="shared" si="79"/>
        <v>57.616135046822421</v>
      </c>
      <c r="AK22" s="10"/>
    </row>
    <row r="23" spans="1:37" ht="14" customHeight="1" x14ac:dyDescent="0.25">
      <c r="A23" s="88"/>
      <c r="B23" s="91"/>
      <c r="C23" s="11" t="s">
        <v>257</v>
      </c>
      <c r="D23" s="11" t="s">
        <v>19</v>
      </c>
      <c r="E23" s="14">
        <f t="shared" ref="E23:X23" si="92">SQRT(E19/(0.5*E11*E30*E39))</f>
        <v>22.106566398110076</v>
      </c>
      <c r="F23" s="14">
        <f t="shared" si="92"/>
        <v>22.766582071758464</v>
      </c>
      <c r="G23" s="14">
        <f t="shared" si="92"/>
        <v>23.455975223338772</v>
      </c>
      <c r="H23" s="14">
        <f t="shared" si="92"/>
        <v>24.176496366858011</v>
      </c>
      <c r="I23" s="14">
        <f t="shared" si="92"/>
        <v>24.715892607643404</v>
      </c>
      <c r="J23" s="14">
        <f t="shared" si="92"/>
        <v>25.453812563889961</v>
      </c>
      <c r="K23" s="14">
        <f t="shared" si="92"/>
        <v>26.224577538968152</v>
      </c>
      <c r="L23" s="14">
        <f t="shared" si="92"/>
        <v>27.0301446670356</v>
      </c>
      <c r="M23" s="14">
        <f t="shared" si="92"/>
        <v>27.074903820162948</v>
      </c>
      <c r="N23" s="14">
        <f t="shared" si="92"/>
        <v>27.883254631501877</v>
      </c>
      <c r="O23" s="14">
        <f t="shared" si="92"/>
        <v>28.727585358272343</v>
      </c>
      <c r="P23" s="14">
        <f t="shared" si="92"/>
        <v>29.610039933526732</v>
      </c>
      <c r="Q23" s="14">
        <f t="shared" si="92"/>
        <v>29.24423851546808</v>
      </c>
      <c r="R23" s="14">
        <f t="shared" si="92"/>
        <v>30.117357182407282</v>
      </c>
      <c r="S23" s="14">
        <f t="shared" si="92"/>
        <v>31.029338599723555</v>
      </c>
      <c r="T23" s="14">
        <f t="shared" si="92"/>
        <v>31.982498479781448</v>
      </c>
      <c r="U23" s="14">
        <f t="shared" si="92"/>
        <v>20.487619920027974</v>
      </c>
      <c r="V23" s="14">
        <f t="shared" si="92"/>
        <v>21.099300179162448</v>
      </c>
      <c r="W23" s="14">
        <f t="shared" si="92"/>
        <v>21.738206493724945</v>
      </c>
      <c r="X23" s="14">
        <f t="shared" si="92"/>
        <v>22.405961181039391</v>
      </c>
      <c r="Y23" s="14">
        <f t="shared" ref="Y23:AB23" si="93">SQRT(Y19/(0.5*Y11*Y30*Y39))</f>
        <v>22.905855419180678</v>
      </c>
      <c r="Z23" s="14">
        <f t="shared" si="93"/>
        <v>23.589734739140361</v>
      </c>
      <c r="AA23" s="14">
        <f t="shared" si="93"/>
        <v>24.304053714448166</v>
      </c>
      <c r="AB23" s="14">
        <f t="shared" si="93"/>
        <v>25.050626151012775</v>
      </c>
      <c r="AC23" s="14">
        <f t="shared" ref="AC23:AF23" si="94">SQRT(AC19/(0.5*AC11*AC30*AC39))</f>
        <v>25.09210742407442</v>
      </c>
      <c r="AD23" s="14">
        <f t="shared" si="94"/>
        <v>25.841259684380844</v>
      </c>
      <c r="AE23" s="14">
        <f t="shared" si="94"/>
        <v>26.623756916440961</v>
      </c>
      <c r="AF23" s="14">
        <f t="shared" si="94"/>
        <v>27.441586045077027</v>
      </c>
      <c r="AG23" s="14">
        <f t="shared" ref="AG23:AJ23" si="95">SQRT(AG19/(0.5*AG11*AG30*AG39))</f>
        <v>27.102573632003519</v>
      </c>
      <c r="AH23" s="14">
        <f t="shared" si="95"/>
        <v>27.911750555782199</v>
      </c>
      <c r="AI23" s="14">
        <f t="shared" si="95"/>
        <v>28.756944165482786</v>
      </c>
      <c r="AJ23" s="14">
        <f t="shared" si="95"/>
        <v>29.640300585198649</v>
      </c>
      <c r="AK23" s="10" t="s">
        <v>268</v>
      </c>
    </row>
    <row r="24" spans="1:37" x14ac:dyDescent="0.25">
      <c r="A24" s="88"/>
      <c r="B24" s="76" t="s">
        <v>135</v>
      </c>
      <c r="C24" s="11"/>
      <c r="D24" s="11"/>
      <c r="E24" s="11">
        <v>1.1000000000000001</v>
      </c>
      <c r="F24" s="11">
        <v>1.1000000000000001</v>
      </c>
      <c r="G24" s="11">
        <v>1.1000000000000001</v>
      </c>
      <c r="H24" s="11">
        <v>1.1000000000000001</v>
      </c>
      <c r="I24" s="11">
        <v>1.1000000000000001</v>
      </c>
      <c r="J24" s="11">
        <v>1.1000000000000001</v>
      </c>
      <c r="K24" s="11">
        <v>1.1000000000000001</v>
      </c>
      <c r="L24" s="11">
        <v>1.1000000000000001</v>
      </c>
      <c r="M24" s="11">
        <v>1.1000000000000001</v>
      </c>
      <c r="N24" s="11">
        <v>1.1000000000000001</v>
      </c>
      <c r="O24" s="11">
        <v>1.1000000000000001</v>
      </c>
      <c r="P24" s="11">
        <v>1.1000000000000001</v>
      </c>
      <c r="Q24" s="11">
        <v>1.1000000000000001</v>
      </c>
      <c r="R24" s="11">
        <v>1.1000000000000001</v>
      </c>
      <c r="S24" s="11">
        <v>1.1000000000000001</v>
      </c>
      <c r="T24" s="11">
        <v>1.1000000000000001</v>
      </c>
      <c r="U24" s="11">
        <v>1.1000000000000001</v>
      </c>
      <c r="V24" s="11">
        <v>1.1000000000000001</v>
      </c>
      <c r="W24" s="11">
        <v>1.1000000000000001</v>
      </c>
      <c r="X24" s="11">
        <v>1.1000000000000001</v>
      </c>
      <c r="Y24" s="11">
        <v>1.1000000000000001</v>
      </c>
      <c r="Z24" s="11">
        <v>1.1000000000000001</v>
      </c>
      <c r="AA24" s="11">
        <v>1.1000000000000001</v>
      </c>
      <c r="AB24" s="11">
        <v>1.1000000000000001</v>
      </c>
      <c r="AC24" s="11">
        <v>1.1000000000000001</v>
      </c>
      <c r="AD24" s="11">
        <v>1.1000000000000001</v>
      </c>
      <c r="AE24" s="11">
        <v>1.1000000000000001</v>
      </c>
      <c r="AF24" s="11">
        <v>1.1000000000000001</v>
      </c>
      <c r="AG24" s="11">
        <v>1.1000000000000001</v>
      </c>
      <c r="AH24" s="11">
        <v>1.1000000000000001</v>
      </c>
      <c r="AI24" s="11">
        <v>1.1000000000000001</v>
      </c>
      <c r="AJ24" s="11">
        <v>1.1000000000000001</v>
      </c>
      <c r="AK24" s="10"/>
    </row>
    <row r="25" spans="1:37" x14ac:dyDescent="0.25">
      <c r="A25" s="88"/>
      <c r="B25" s="95" t="s">
        <v>267</v>
      </c>
      <c r="C25" s="11" t="s">
        <v>131</v>
      </c>
      <c r="D25" s="11" t="s">
        <v>105</v>
      </c>
      <c r="E25" s="14">
        <f t="shared" ref="E25:AJ25" si="96">CONVERT(1,"m/sec","kn")*E26</f>
        <v>47.268900073712693</v>
      </c>
      <c r="F25" s="14">
        <f t="shared" si="96"/>
        <v>48.680164689073173</v>
      </c>
      <c r="G25" s="14">
        <f t="shared" si="96"/>
        <v>50.154245077981393</v>
      </c>
      <c r="H25" s="14">
        <f t="shared" si="96"/>
        <v>51.69488424014996</v>
      </c>
      <c r="I25" s="14">
        <f t="shared" ref="I25" si="97">CONVERT(1,"m/sec","kn")*I26</f>
        <v>52.848236893233199</v>
      </c>
      <c r="J25" s="14">
        <f t="shared" ref="J25" si="98">CONVERT(1,"m/sec","kn")*J26</f>
        <v>54.426078700326272</v>
      </c>
      <c r="K25" s="14">
        <f t="shared" ref="K25" si="99">CONVERT(1,"m/sec","kn")*K26</f>
        <v>56.074150677275313</v>
      </c>
      <c r="L25" s="14">
        <f t="shared" ref="L25" si="100">CONVERT(1,"m/sec","kn")*L26</f>
        <v>57.796637624978928</v>
      </c>
      <c r="M25" s="14">
        <f t="shared" ref="M25" si="101">CONVERT(1,"m/sec","kn")*M26</f>
        <v>57.892342941601122</v>
      </c>
      <c r="N25" s="14">
        <f t="shared" ref="N25" si="102">CONVERT(1,"m/sec","kn")*N26</f>
        <v>59.6207820414403</v>
      </c>
      <c r="O25" s="14">
        <f t="shared" ref="O25" si="103">CONVERT(1,"m/sec","kn")*O26</f>
        <v>61.426154437774557</v>
      </c>
      <c r="P25" s="14">
        <f t="shared" ref="P25" si="104">CONVERT(1,"m/sec","kn")*P26</f>
        <v>63.313044350305532</v>
      </c>
      <c r="Q25" s="14">
        <f t="shared" ref="Q25" si="105">CONVERT(1,"m/sec","kn")*Q26</f>
        <v>62.530877171303239</v>
      </c>
      <c r="R25" s="14">
        <f t="shared" ref="R25" si="106">CONVERT(1,"m/sec","kn")*R26</f>
        <v>64.397804774477777</v>
      </c>
      <c r="S25" s="14">
        <f t="shared" ref="S25" si="107">CONVERT(1,"m/sec","kn")*S26</f>
        <v>66.347829835262033</v>
      </c>
      <c r="T25" s="14">
        <f t="shared" ref="T25" si="108">CONVERT(1,"m/sec","kn")*T26</f>
        <v>68.385903876854499</v>
      </c>
      <c r="U25" s="14">
        <f t="shared" si="96"/>
        <v>43.807221859239078</v>
      </c>
      <c r="V25" s="14">
        <f t="shared" si="96"/>
        <v>45.11513429237759</v>
      </c>
      <c r="W25" s="14">
        <f t="shared" si="96"/>
        <v>46.481262265200215</v>
      </c>
      <c r="X25" s="14">
        <f t="shared" si="96"/>
        <v>47.909074663561547</v>
      </c>
      <c r="Y25" s="14">
        <f t="shared" si="96"/>
        <v>48.977962991336653</v>
      </c>
      <c r="Z25" s="14">
        <f t="shared" si="96"/>
        <v>50.44025354589408</v>
      </c>
      <c r="AA25" s="14">
        <f t="shared" si="96"/>
        <v>51.967631052491761</v>
      </c>
      <c r="AB25" s="14">
        <f t="shared" si="96"/>
        <v>53.563973843418246</v>
      </c>
      <c r="AC25" s="14">
        <f t="shared" si="96"/>
        <v>53.652670302016581</v>
      </c>
      <c r="AD25" s="14">
        <f t="shared" si="96"/>
        <v>55.254529346732262</v>
      </c>
      <c r="AE25" s="14">
        <f t="shared" si="96"/>
        <v>56.927687575111342</v>
      </c>
      <c r="AF25" s="14">
        <f t="shared" si="96"/>
        <v>58.676393487313732</v>
      </c>
      <c r="AG25" s="14">
        <f t="shared" si="96"/>
        <v>57.951507334089605</v>
      </c>
      <c r="AH25" s="14">
        <f t="shared" si="96"/>
        <v>59.681712851456538</v>
      </c>
      <c r="AI25" s="14">
        <f t="shared" si="96"/>
        <v>61.488930289045264</v>
      </c>
      <c r="AJ25" s="14">
        <f t="shared" si="96"/>
        <v>63.377748551504681</v>
      </c>
      <c r="AK25" s="10"/>
    </row>
    <row r="26" spans="1:37" x14ac:dyDescent="0.25">
      <c r="A26" s="88"/>
      <c r="B26" s="95"/>
      <c r="C26" s="11" t="s">
        <v>116</v>
      </c>
      <c r="D26" s="11" t="s">
        <v>19</v>
      </c>
      <c r="E26" s="14">
        <f t="shared" ref="E26:X26" si="109">E21*E24</f>
        <v>24.317223037921085</v>
      </c>
      <c r="F26" s="14">
        <f t="shared" si="109"/>
        <v>25.043240278934313</v>
      </c>
      <c r="G26" s="14">
        <f t="shared" si="109"/>
        <v>25.801572745672651</v>
      </c>
      <c r="H26" s="14">
        <f t="shared" si="109"/>
        <v>26.594146003543813</v>
      </c>
      <c r="I26" s="14">
        <f t="shared" ref="I26:L26" si="110">I21*I24</f>
        <v>27.187481868407747</v>
      </c>
      <c r="J26" s="14">
        <f t="shared" si="110"/>
        <v>27.999193820278961</v>
      </c>
      <c r="K26" s="14">
        <f t="shared" si="110"/>
        <v>28.84703529286497</v>
      </c>
      <c r="L26" s="14">
        <f t="shared" si="110"/>
        <v>29.733159133739161</v>
      </c>
      <c r="M26" s="14">
        <f t="shared" ref="M26:P26" si="111">M21*M24</f>
        <v>29.782394202179244</v>
      </c>
      <c r="N26" s="14">
        <f t="shared" si="111"/>
        <v>30.671580094652068</v>
      </c>
      <c r="O26" s="14">
        <f t="shared" si="111"/>
        <v>31.600343894099581</v>
      </c>
      <c r="P26" s="14">
        <f t="shared" si="111"/>
        <v>32.571043926879405</v>
      </c>
      <c r="Q26" s="14">
        <f t="shared" ref="Q26:T26" si="112">Q21*Q24</f>
        <v>32.168662367014889</v>
      </c>
      <c r="R26" s="14">
        <f t="shared" si="112"/>
        <v>33.129092900648011</v>
      </c>
      <c r="S26" s="14">
        <f t="shared" si="112"/>
        <v>34.132272459695912</v>
      </c>
      <c r="T26" s="14">
        <f t="shared" si="112"/>
        <v>35.180748327759595</v>
      </c>
      <c r="U26" s="14">
        <f t="shared" si="109"/>
        <v>22.536381912030773</v>
      </c>
      <c r="V26" s="14">
        <f t="shared" si="109"/>
        <v>23.209230197078696</v>
      </c>
      <c r="W26" s="14">
        <f t="shared" si="109"/>
        <v>23.912027143097443</v>
      </c>
      <c r="X26" s="14">
        <f t="shared" si="109"/>
        <v>24.646557299143332</v>
      </c>
      <c r="Y26" s="14">
        <f t="shared" ref="Y26:AB26" si="113">Y21*Y24</f>
        <v>25.196440961098748</v>
      </c>
      <c r="Z26" s="14">
        <f t="shared" si="113"/>
        <v>25.948708213054399</v>
      </c>
      <c r="AA26" s="14">
        <f t="shared" si="113"/>
        <v>26.734459085892986</v>
      </c>
      <c r="AB26" s="14">
        <f t="shared" si="113"/>
        <v>27.555688766114056</v>
      </c>
      <c r="AC26" s="14">
        <f t="shared" ref="AC26:AF26" si="114">AC21*AC24</f>
        <v>27.601318166481864</v>
      </c>
      <c r="AD26" s="14">
        <f t="shared" si="114"/>
        <v>28.425385652818932</v>
      </c>
      <c r="AE26" s="14">
        <f t="shared" si="114"/>
        <v>29.286132608085058</v>
      </c>
      <c r="AF26" s="14">
        <f t="shared" si="114"/>
        <v>30.185744649584734</v>
      </c>
      <c r="AG26" s="14">
        <f t="shared" ref="AG26:AJ26" si="115">AG21*AG24</f>
        <v>29.812830995203875</v>
      </c>
      <c r="AH26" s="14">
        <f t="shared" si="115"/>
        <v>30.702925611360421</v>
      </c>
      <c r="AI26" s="14">
        <f t="shared" si="115"/>
        <v>31.632638582031067</v>
      </c>
      <c r="AJ26" s="14">
        <f t="shared" si="115"/>
        <v>32.604330643718519</v>
      </c>
      <c r="AK26" s="10" t="s">
        <v>269</v>
      </c>
    </row>
    <row r="27" spans="1:37" x14ac:dyDescent="0.25">
      <c r="A27" s="88"/>
      <c r="B27" s="95" t="s">
        <v>273</v>
      </c>
      <c r="C27" s="11" t="s">
        <v>270</v>
      </c>
      <c r="D27" s="11" t="s">
        <v>105</v>
      </c>
      <c r="E27" s="14">
        <f t="shared" ref="E27:AJ27" si="116">CONVERT(1,"m/sec","kn")*E28</f>
        <v>47.268900073712693</v>
      </c>
      <c r="F27" s="14">
        <f t="shared" si="116"/>
        <v>48.680164689073173</v>
      </c>
      <c r="G27" s="14">
        <f t="shared" si="116"/>
        <v>50.154245077981393</v>
      </c>
      <c r="H27" s="14">
        <f t="shared" si="116"/>
        <v>51.69488424014996</v>
      </c>
      <c r="I27" s="14">
        <f t="shared" ref="I27" si="117">CONVERT(1,"m/sec","kn")*I28</f>
        <v>52.848236893233199</v>
      </c>
      <c r="J27" s="14">
        <f t="shared" ref="J27" si="118">CONVERT(1,"m/sec","kn")*J28</f>
        <v>54.426078700326272</v>
      </c>
      <c r="K27" s="14">
        <f t="shared" ref="K27" si="119">CONVERT(1,"m/sec","kn")*K28</f>
        <v>56.074150677275313</v>
      </c>
      <c r="L27" s="14">
        <f t="shared" ref="L27" si="120">CONVERT(1,"m/sec","kn")*L28</f>
        <v>57.796637624978928</v>
      </c>
      <c r="M27" s="14">
        <f t="shared" ref="M27" si="121">CONVERT(1,"m/sec","kn")*M28</f>
        <v>57.892342941601122</v>
      </c>
      <c r="N27" s="14">
        <f t="shared" ref="N27" si="122">CONVERT(1,"m/sec","kn")*N28</f>
        <v>59.6207820414403</v>
      </c>
      <c r="O27" s="14">
        <f t="shared" ref="O27" si="123">CONVERT(1,"m/sec","kn")*O28</f>
        <v>61.426154437774557</v>
      </c>
      <c r="P27" s="14">
        <f t="shared" ref="P27" si="124">CONVERT(1,"m/sec","kn")*P28</f>
        <v>63.313044350305532</v>
      </c>
      <c r="Q27" s="14">
        <f t="shared" ref="Q27" si="125">CONVERT(1,"m/sec","kn")*Q28</f>
        <v>62.530877171303239</v>
      </c>
      <c r="R27" s="14">
        <f t="shared" ref="R27" si="126">CONVERT(1,"m/sec","kn")*R28</f>
        <v>64.397804774477777</v>
      </c>
      <c r="S27" s="14">
        <f t="shared" ref="S27" si="127">CONVERT(1,"m/sec","kn")*S28</f>
        <v>66.347829835262033</v>
      </c>
      <c r="T27" s="14">
        <f t="shared" ref="T27" si="128">CONVERT(1,"m/sec","kn")*T28</f>
        <v>68.385903876854499</v>
      </c>
      <c r="U27" s="14">
        <f t="shared" si="116"/>
        <v>43.807221859239078</v>
      </c>
      <c r="V27" s="14">
        <f t="shared" si="116"/>
        <v>45.11513429237759</v>
      </c>
      <c r="W27" s="14">
        <f t="shared" si="116"/>
        <v>46.481262265200215</v>
      </c>
      <c r="X27" s="14">
        <f t="shared" si="116"/>
        <v>47.909074663561547</v>
      </c>
      <c r="Y27" s="14">
        <f t="shared" si="116"/>
        <v>48.977962991336653</v>
      </c>
      <c r="Z27" s="14">
        <f t="shared" si="116"/>
        <v>50.44025354589408</v>
      </c>
      <c r="AA27" s="14">
        <f t="shared" si="116"/>
        <v>51.967631052491761</v>
      </c>
      <c r="AB27" s="14">
        <f t="shared" si="116"/>
        <v>53.563973843418246</v>
      </c>
      <c r="AC27" s="14">
        <f t="shared" si="116"/>
        <v>53.652670302016581</v>
      </c>
      <c r="AD27" s="14">
        <f t="shared" si="116"/>
        <v>55.254529346732262</v>
      </c>
      <c r="AE27" s="14">
        <f t="shared" si="116"/>
        <v>56.927687575111342</v>
      </c>
      <c r="AF27" s="14">
        <f t="shared" si="116"/>
        <v>58.676393487313732</v>
      </c>
      <c r="AG27" s="14">
        <f t="shared" si="116"/>
        <v>57.951507334089605</v>
      </c>
      <c r="AH27" s="14">
        <f t="shared" si="116"/>
        <v>59.681712851456538</v>
      </c>
      <c r="AI27" s="14">
        <f t="shared" si="116"/>
        <v>61.488930289045264</v>
      </c>
      <c r="AJ27" s="14">
        <f t="shared" si="116"/>
        <v>63.377748551504681</v>
      </c>
      <c r="AK27" s="10"/>
    </row>
    <row r="28" spans="1:37" x14ac:dyDescent="0.25">
      <c r="A28" s="88"/>
      <c r="B28" s="95"/>
      <c r="C28" s="11" t="s">
        <v>271</v>
      </c>
      <c r="D28" s="11" t="s">
        <v>19</v>
      </c>
      <c r="E28" s="14">
        <f t="shared" ref="E28:X28" si="129">E23*E24</f>
        <v>24.317223037921085</v>
      </c>
      <c r="F28" s="14">
        <f t="shared" si="129"/>
        <v>25.043240278934313</v>
      </c>
      <c r="G28" s="14">
        <f t="shared" si="129"/>
        <v>25.801572745672651</v>
      </c>
      <c r="H28" s="14">
        <f t="shared" si="129"/>
        <v>26.594146003543813</v>
      </c>
      <c r="I28" s="14">
        <f t="shared" ref="I28:L28" si="130">I23*I24</f>
        <v>27.187481868407747</v>
      </c>
      <c r="J28" s="14">
        <f t="shared" si="130"/>
        <v>27.999193820278961</v>
      </c>
      <c r="K28" s="14">
        <f t="shared" si="130"/>
        <v>28.84703529286497</v>
      </c>
      <c r="L28" s="14">
        <f t="shared" si="130"/>
        <v>29.733159133739161</v>
      </c>
      <c r="M28" s="14">
        <f t="shared" ref="M28:P28" si="131">M23*M24</f>
        <v>29.782394202179244</v>
      </c>
      <c r="N28" s="14">
        <f t="shared" si="131"/>
        <v>30.671580094652068</v>
      </c>
      <c r="O28" s="14">
        <f t="shared" si="131"/>
        <v>31.600343894099581</v>
      </c>
      <c r="P28" s="14">
        <f t="shared" si="131"/>
        <v>32.571043926879405</v>
      </c>
      <c r="Q28" s="14">
        <f t="shared" ref="Q28:T28" si="132">Q23*Q24</f>
        <v>32.168662367014889</v>
      </c>
      <c r="R28" s="14">
        <f t="shared" si="132"/>
        <v>33.129092900648011</v>
      </c>
      <c r="S28" s="14">
        <f t="shared" si="132"/>
        <v>34.132272459695912</v>
      </c>
      <c r="T28" s="14">
        <f t="shared" si="132"/>
        <v>35.180748327759595</v>
      </c>
      <c r="U28" s="14">
        <f t="shared" si="129"/>
        <v>22.536381912030773</v>
      </c>
      <c r="V28" s="14">
        <f t="shared" si="129"/>
        <v>23.209230197078696</v>
      </c>
      <c r="W28" s="14">
        <f t="shared" si="129"/>
        <v>23.912027143097443</v>
      </c>
      <c r="X28" s="14">
        <f t="shared" si="129"/>
        <v>24.646557299143332</v>
      </c>
      <c r="Y28" s="14">
        <f t="shared" ref="Y28:AB28" si="133">Y23*Y24</f>
        <v>25.196440961098748</v>
      </c>
      <c r="Z28" s="14">
        <f t="shared" si="133"/>
        <v>25.948708213054399</v>
      </c>
      <c r="AA28" s="14">
        <f t="shared" si="133"/>
        <v>26.734459085892986</v>
      </c>
      <c r="AB28" s="14">
        <f t="shared" si="133"/>
        <v>27.555688766114056</v>
      </c>
      <c r="AC28" s="14">
        <f t="shared" ref="AC28:AF28" si="134">AC23*AC24</f>
        <v>27.601318166481864</v>
      </c>
      <c r="AD28" s="14">
        <f t="shared" si="134"/>
        <v>28.425385652818932</v>
      </c>
      <c r="AE28" s="14">
        <f t="shared" si="134"/>
        <v>29.286132608085058</v>
      </c>
      <c r="AF28" s="14">
        <f t="shared" si="134"/>
        <v>30.185744649584734</v>
      </c>
      <c r="AG28" s="14">
        <f t="shared" ref="AG28:AJ28" si="135">AG23*AG24</f>
        <v>29.812830995203875</v>
      </c>
      <c r="AH28" s="14">
        <f t="shared" si="135"/>
        <v>30.702925611360421</v>
      </c>
      <c r="AI28" s="14">
        <f t="shared" si="135"/>
        <v>31.632638582031067</v>
      </c>
      <c r="AJ28" s="14">
        <f t="shared" si="135"/>
        <v>32.604330643718519</v>
      </c>
      <c r="AK28" s="10" t="s">
        <v>272</v>
      </c>
    </row>
    <row r="29" spans="1:37" x14ac:dyDescent="0.25">
      <c r="A29" s="95" t="s">
        <v>125</v>
      </c>
      <c r="B29" s="95" t="s">
        <v>111</v>
      </c>
      <c r="C29" s="11" t="s">
        <v>114</v>
      </c>
      <c r="D29" s="11" t="s">
        <v>115</v>
      </c>
      <c r="E29" s="16">
        <v>276.5</v>
      </c>
      <c r="F29" s="16">
        <v>276.5</v>
      </c>
      <c r="G29" s="16">
        <v>276.5</v>
      </c>
      <c r="H29" s="16">
        <v>276.5</v>
      </c>
      <c r="I29" s="16">
        <v>276.5</v>
      </c>
      <c r="J29" s="16">
        <v>276.5</v>
      </c>
      <c r="K29" s="16">
        <v>276.5</v>
      </c>
      <c r="L29" s="16">
        <v>276.5</v>
      </c>
      <c r="M29" s="16">
        <v>276.5</v>
      </c>
      <c r="N29" s="16">
        <v>276.5</v>
      </c>
      <c r="O29" s="16">
        <v>276.5</v>
      </c>
      <c r="P29" s="16">
        <v>276.5</v>
      </c>
      <c r="Q29" s="16">
        <v>276.5</v>
      </c>
      <c r="R29" s="16">
        <v>276.5</v>
      </c>
      <c r="S29" s="16">
        <v>276.5</v>
      </c>
      <c r="T29" s="16">
        <v>276.5</v>
      </c>
      <c r="U29" s="16">
        <v>276.5</v>
      </c>
      <c r="V29" s="16">
        <v>276.5</v>
      </c>
      <c r="W29" s="16">
        <v>276.5</v>
      </c>
      <c r="X29" s="16">
        <v>276.5</v>
      </c>
      <c r="Y29" s="16">
        <v>276.5</v>
      </c>
      <c r="Z29" s="16">
        <v>276.5</v>
      </c>
      <c r="AA29" s="16">
        <v>276.5</v>
      </c>
      <c r="AB29" s="16">
        <v>276.5</v>
      </c>
      <c r="AC29" s="16">
        <v>276.5</v>
      </c>
      <c r="AD29" s="16">
        <v>276.5</v>
      </c>
      <c r="AE29" s="16">
        <v>276.5</v>
      </c>
      <c r="AF29" s="16">
        <v>276.5</v>
      </c>
      <c r="AG29" s="16">
        <v>276.5</v>
      </c>
      <c r="AH29" s="16">
        <v>276.5</v>
      </c>
      <c r="AI29" s="16">
        <v>276.5</v>
      </c>
      <c r="AJ29" s="16">
        <v>276.5</v>
      </c>
      <c r="AK29" s="10"/>
    </row>
    <row r="30" spans="1:37" x14ac:dyDescent="0.25">
      <c r="A30" s="95"/>
      <c r="B30" s="95"/>
      <c r="C30" s="11" t="s">
        <v>113</v>
      </c>
      <c r="D30" s="11" t="s">
        <v>112</v>
      </c>
      <c r="E30" s="17">
        <f t="shared" ref="E30:X30" si="136">E29*CONVERT(1,"ft","m")^2</f>
        <v>25.68769056</v>
      </c>
      <c r="F30" s="17">
        <f t="shared" si="136"/>
        <v>25.68769056</v>
      </c>
      <c r="G30" s="17">
        <f t="shared" si="136"/>
        <v>25.68769056</v>
      </c>
      <c r="H30" s="17">
        <f t="shared" si="136"/>
        <v>25.68769056</v>
      </c>
      <c r="I30" s="17">
        <f t="shared" ref="I30:L30" si="137">I29*CONVERT(1,"ft","m")^2</f>
        <v>25.68769056</v>
      </c>
      <c r="J30" s="17">
        <f t="shared" si="137"/>
        <v>25.68769056</v>
      </c>
      <c r="K30" s="17">
        <f t="shared" si="137"/>
        <v>25.68769056</v>
      </c>
      <c r="L30" s="17">
        <f t="shared" si="137"/>
        <v>25.68769056</v>
      </c>
      <c r="M30" s="17">
        <f t="shared" ref="M30:P30" si="138">M29*CONVERT(1,"ft","m")^2</f>
        <v>25.68769056</v>
      </c>
      <c r="N30" s="17">
        <f t="shared" si="138"/>
        <v>25.68769056</v>
      </c>
      <c r="O30" s="17">
        <f t="shared" si="138"/>
        <v>25.68769056</v>
      </c>
      <c r="P30" s="17">
        <f t="shared" si="138"/>
        <v>25.68769056</v>
      </c>
      <c r="Q30" s="17">
        <f t="shared" ref="Q30:T30" si="139">Q29*CONVERT(1,"ft","m")^2</f>
        <v>25.68769056</v>
      </c>
      <c r="R30" s="17">
        <f t="shared" si="139"/>
        <v>25.68769056</v>
      </c>
      <c r="S30" s="17">
        <f t="shared" si="139"/>
        <v>25.68769056</v>
      </c>
      <c r="T30" s="17">
        <f t="shared" si="139"/>
        <v>25.68769056</v>
      </c>
      <c r="U30" s="17">
        <f t="shared" si="136"/>
        <v>25.68769056</v>
      </c>
      <c r="V30" s="17">
        <f t="shared" si="136"/>
        <v>25.68769056</v>
      </c>
      <c r="W30" s="17">
        <f t="shared" si="136"/>
        <v>25.68769056</v>
      </c>
      <c r="X30" s="17">
        <f t="shared" si="136"/>
        <v>25.68769056</v>
      </c>
      <c r="Y30" s="17">
        <f t="shared" ref="Y30:AB30" si="140">Y29*CONVERT(1,"ft","m")^2</f>
        <v>25.68769056</v>
      </c>
      <c r="Z30" s="17">
        <f t="shared" si="140"/>
        <v>25.68769056</v>
      </c>
      <c r="AA30" s="17">
        <f t="shared" si="140"/>
        <v>25.68769056</v>
      </c>
      <c r="AB30" s="17">
        <f t="shared" si="140"/>
        <v>25.68769056</v>
      </c>
      <c r="AC30" s="17">
        <f t="shared" ref="AC30:AF30" si="141">AC29*CONVERT(1,"ft","m")^2</f>
        <v>25.68769056</v>
      </c>
      <c r="AD30" s="17">
        <f t="shared" si="141"/>
        <v>25.68769056</v>
      </c>
      <c r="AE30" s="17">
        <f t="shared" si="141"/>
        <v>25.68769056</v>
      </c>
      <c r="AF30" s="17">
        <f t="shared" si="141"/>
        <v>25.68769056</v>
      </c>
      <c r="AG30" s="17">
        <f t="shared" ref="AG30:AJ30" si="142">AG29*CONVERT(1,"ft","m")^2</f>
        <v>25.68769056</v>
      </c>
      <c r="AH30" s="17">
        <f t="shared" si="142"/>
        <v>25.68769056</v>
      </c>
      <c r="AI30" s="17">
        <f t="shared" si="142"/>
        <v>25.68769056</v>
      </c>
      <c r="AJ30" s="17">
        <f t="shared" si="142"/>
        <v>25.68769056</v>
      </c>
      <c r="AK30" s="10"/>
    </row>
    <row r="31" spans="1:37" x14ac:dyDescent="0.25">
      <c r="A31" s="95"/>
      <c r="B31" s="87" t="s">
        <v>144</v>
      </c>
      <c r="C31" s="11" t="s">
        <v>145</v>
      </c>
      <c r="D31" s="11" t="s">
        <v>100</v>
      </c>
      <c r="E31" s="16">
        <v>55.3</v>
      </c>
      <c r="F31" s="16">
        <v>55.3</v>
      </c>
      <c r="G31" s="16">
        <v>55.3</v>
      </c>
      <c r="H31" s="16">
        <v>55.3</v>
      </c>
      <c r="I31" s="16">
        <v>55.3</v>
      </c>
      <c r="J31" s="16">
        <v>55.3</v>
      </c>
      <c r="K31" s="16">
        <v>55.3</v>
      </c>
      <c r="L31" s="16">
        <v>55.3</v>
      </c>
      <c r="M31" s="16">
        <v>55.3</v>
      </c>
      <c r="N31" s="16">
        <v>55.3</v>
      </c>
      <c r="O31" s="16">
        <v>55.3</v>
      </c>
      <c r="P31" s="16">
        <v>55.3</v>
      </c>
      <c r="Q31" s="16">
        <v>55.3</v>
      </c>
      <c r="R31" s="16">
        <v>55.3</v>
      </c>
      <c r="S31" s="16">
        <v>55.3</v>
      </c>
      <c r="T31" s="16">
        <v>55.3</v>
      </c>
      <c r="U31" s="16">
        <v>55.3</v>
      </c>
      <c r="V31" s="16">
        <v>55.3</v>
      </c>
      <c r="W31" s="16">
        <v>55.3</v>
      </c>
      <c r="X31" s="16">
        <v>55.3</v>
      </c>
      <c r="Y31" s="16">
        <v>55.3</v>
      </c>
      <c r="Z31" s="16">
        <v>55.3</v>
      </c>
      <c r="AA31" s="16">
        <v>55.3</v>
      </c>
      <c r="AB31" s="16">
        <v>55.3</v>
      </c>
      <c r="AC31" s="16">
        <v>55.3</v>
      </c>
      <c r="AD31" s="16">
        <v>55.3</v>
      </c>
      <c r="AE31" s="16">
        <v>55.3</v>
      </c>
      <c r="AF31" s="16">
        <v>55.3</v>
      </c>
      <c r="AG31" s="16">
        <v>55.3</v>
      </c>
      <c r="AH31" s="16">
        <v>55.3</v>
      </c>
      <c r="AI31" s="16">
        <v>55.3</v>
      </c>
      <c r="AJ31" s="16">
        <v>55.3</v>
      </c>
      <c r="AK31" s="10"/>
    </row>
    <row r="32" spans="1:37" x14ac:dyDescent="0.25">
      <c r="A32" s="95"/>
      <c r="B32" s="89"/>
      <c r="C32" s="11" t="s">
        <v>146</v>
      </c>
      <c r="D32" s="11" t="s">
        <v>106</v>
      </c>
      <c r="E32" s="17">
        <f t="shared" ref="E32:X32" si="143">E31*CONVERT(1,"ft","m")</f>
        <v>16.855440000000002</v>
      </c>
      <c r="F32" s="17">
        <f t="shared" si="143"/>
        <v>16.855440000000002</v>
      </c>
      <c r="G32" s="17">
        <f t="shared" si="143"/>
        <v>16.855440000000002</v>
      </c>
      <c r="H32" s="17">
        <f t="shared" si="143"/>
        <v>16.855440000000002</v>
      </c>
      <c r="I32" s="17">
        <f t="shared" ref="I32:L32" si="144">I31*CONVERT(1,"ft","m")</f>
        <v>16.855440000000002</v>
      </c>
      <c r="J32" s="17">
        <f t="shared" si="144"/>
        <v>16.855440000000002</v>
      </c>
      <c r="K32" s="17">
        <f t="shared" si="144"/>
        <v>16.855440000000002</v>
      </c>
      <c r="L32" s="17">
        <f t="shared" si="144"/>
        <v>16.855440000000002</v>
      </c>
      <c r="M32" s="17">
        <f t="shared" ref="M32:P32" si="145">M31*CONVERT(1,"ft","m")</f>
        <v>16.855440000000002</v>
      </c>
      <c r="N32" s="17">
        <f t="shared" si="145"/>
        <v>16.855440000000002</v>
      </c>
      <c r="O32" s="17">
        <f t="shared" si="145"/>
        <v>16.855440000000002</v>
      </c>
      <c r="P32" s="17">
        <f t="shared" si="145"/>
        <v>16.855440000000002</v>
      </c>
      <c r="Q32" s="17">
        <f t="shared" ref="Q32:T32" si="146">Q31*CONVERT(1,"ft","m")</f>
        <v>16.855440000000002</v>
      </c>
      <c r="R32" s="17">
        <f t="shared" si="146"/>
        <v>16.855440000000002</v>
      </c>
      <c r="S32" s="17">
        <f t="shared" si="146"/>
        <v>16.855440000000002</v>
      </c>
      <c r="T32" s="17">
        <f t="shared" si="146"/>
        <v>16.855440000000002</v>
      </c>
      <c r="U32" s="17">
        <f t="shared" si="143"/>
        <v>16.855440000000002</v>
      </c>
      <c r="V32" s="17">
        <f t="shared" si="143"/>
        <v>16.855440000000002</v>
      </c>
      <c r="W32" s="17">
        <f t="shared" si="143"/>
        <v>16.855440000000002</v>
      </c>
      <c r="X32" s="17">
        <f t="shared" si="143"/>
        <v>16.855440000000002</v>
      </c>
      <c r="Y32" s="17">
        <f t="shared" ref="Y32:AB32" si="147">Y31*CONVERT(1,"ft","m")</f>
        <v>16.855440000000002</v>
      </c>
      <c r="Z32" s="17">
        <f t="shared" si="147"/>
        <v>16.855440000000002</v>
      </c>
      <c r="AA32" s="17">
        <f t="shared" si="147"/>
        <v>16.855440000000002</v>
      </c>
      <c r="AB32" s="17">
        <f t="shared" si="147"/>
        <v>16.855440000000002</v>
      </c>
      <c r="AC32" s="17">
        <f t="shared" ref="AC32:AF32" si="148">AC31*CONVERT(1,"ft","m")</f>
        <v>16.855440000000002</v>
      </c>
      <c r="AD32" s="17">
        <f t="shared" si="148"/>
        <v>16.855440000000002</v>
      </c>
      <c r="AE32" s="17">
        <f t="shared" si="148"/>
        <v>16.855440000000002</v>
      </c>
      <c r="AF32" s="17">
        <f t="shared" si="148"/>
        <v>16.855440000000002</v>
      </c>
      <c r="AG32" s="17">
        <f t="shared" ref="AG32:AJ32" si="149">AG31*CONVERT(1,"ft","m")</f>
        <v>16.855440000000002</v>
      </c>
      <c r="AH32" s="17">
        <f t="shared" si="149"/>
        <v>16.855440000000002</v>
      </c>
      <c r="AI32" s="17">
        <f t="shared" si="149"/>
        <v>16.855440000000002</v>
      </c>
      <c r="AJ32" s="17">
        <f t="shared" si="149"/>
        <v>16.855440000000002</v>
      </c>
      <c r="AK32" s="10"/>
    </row>
    <row r="33" spans="1:37" x14ac:dyDescent="0.25">
      <c r="A33" s="95"/>
      <c r="B33" s="90" t="s">
        <v>152</v>
      </c>
      <c r="C33" s="75" t="s">
        <v>140</v>
      </c>
      <c r="D33" s="75" t="s">
        <v>100</v>
      </c>
      <c r="E33" s="77">
        <v>5</v>
      </c>
      <c r="F33" s="77">
        <v>5</v>
      </c>
      <c r="G33" s="77">
        <v>5</v>
      </c>
      <c r="H33" s="77">
        <v>5</v>
      </c>
      <c r="I33" s="77">
        <v>5</v>
      </c>
      <c r="J33" s="77">
        <v>5</v>
      </c>
      <c r="K33" s="77">
        <v>5</v>
      </c>
      <c r="L33" s="77">
        <v>5</v>
      </c>
      <c r="M33" s="77">
        <v>5</v>
      </c>
      <c r="N33" s="77">
        <v>5</v>
      </c>
      <c r="O33" s="77">
        <v>5</v>
      </c>
      <c r="P33" s="77">
        <v>5</v>
      </c>
      <c r="Q33" s="77">
        <v>5</v>
      </c>
      <c r="R33" s="77">
        <v>5</v>
      </c>
      <c r="S33" s="77">
        <v>5</v>
      </c>
      <c r="T33" s="77">
        <v>5</v>
      </c>
      <c r="U33" s="77">
        <v>5</v>
      </c>
      <c r="V33" s="77">
        <v>5</v>
      </c>
      <c r="W33" s="77">
        <v>5</v>
      </c>
      <c r="X33" s="77">
        <v>5</v>
      </c>
      <c r="Y33" s="77">
        <v>5</v>
      </c>
      <c r="Z33" s="77">
        <v>5</v>
      </c>
      <c r="AA33" s="77">
        <v>5</v>
      </c>
      <c r="AB33" s="77">
        <v>5</v>
      </c>
      <c r="AC33" s="77">
        <v>5</v>
      </c>
      <c r="AD33" s="77">
        <v>5</v>
      </c>
      <c r="AE33" s="77">
        <v>5</v>
      </c>
      <c r="AF33" s="77">
        <v>5</v>
      </c>
      <c r="AG33" s="77">
        <v>5</v>
      </c>
      <c r="AH33" s="77">
        <v>5</v>
      </c>
      <c r="AI33" s="77">
        <v>5</v>
      </c>
      <c r="AJ33" s="77">
        <v>5</v>
      </c>
      <c r="AK33" s="10"/>
    </row>
    <row r="34" spans="1:37" x14ac:dyDescent="0.25">
      <c r="A34" s="95"/>
      <c r="B34" s="91"/>
      <c r="C34" s="75" t="s">
        <v>141</v>
      </c>
      <c r="D34" s="75" t="s">
        <v>106</v>
      </c>
      <c r="E34" s="75">
        <f t="shared" ref="E34:X34" si="150">E33*CONVERT(1,"ft","m")</f>
        <v>1.524</v>
      </c>
      <c r="F34" s="75">
        <f t="shared" si="150"/>
        <v>1.524</v>
      </c>
      <c r="G34" s="75">
        <f t="shared" si="150"/>
        <v>1.524</v>
      </c>
      <c r="H34" s="75">
        <f t="shared" si="150"/>
        <v>1.524</v>
      </c>
      <c r="I34" s="75">
        <f t="shared" ref="I34:L34" si="151">I33*CONVERT(1,"ft","m")</f>
        <v>1.524</v>
      </c>
      <c r="J34" s="75">
        <f t="shared" si="151"/>
        <v>1.524</v>
      </c>
      <c r="K34" s="75">
        <f t="shared" si="151"/>
        <v>1.524</v>
      </c>
      <c r="L34" s="75">
        <f t="shared" si="151"/>
        <v>1.524</v>
      </c>
      <c r="M34" s="75">
        <f t="shared" ref="M34:P34" si="152">M33*CONVERT(1,"ft","m")</f>
        <v>1.524</v>
      </c>
      <c r="N34" s="75">
        <f t="shared" si="152"/>
        <v>1.524</v>
      </c>
      <c r="O34" s="75">
        <f t="shared" si="152"/>
        <v>1.524</v>
      </c>
      <c r="P34" s="75">
        <f t="shared" si="152"/>
        <v>1.524</v>
      </c>
      <c r="Q34" s="75">
        <f t="shared" ref="Q34:T34" si="153">Q33*CONVERT(1,"ft","m")</f>
        <v>1.524</v>
      </c>
      <c r="R34" s="75">
        <f t="shared" si="153"/>
        <v>1.524</v>
      </c>
      <c r="S34" s="75">
        <f t="shared" si="153"/>
        <v>1.524</v>
      </c>
      <c r="T34" s="75">
        <f t="shared" si="153"/>
        <v>1.524</v>
      </c>
      <c r="U34" s="75">
        <f t="shared" si="150"/>
        <v>1.524</v>
      </c>
      <c r="V34" s="75">
        <f t="shared" si="150"/>
        <v>1.524</v>
      </c>
      <c r="W34" s="75">
        <f t="shared" si="150"/>
        <v>1.524</v>
      </c>
      <c r="X34" s="75">
        <f t="shared" si="150"/>
        <v>1.524</v>
      </c>
      <c r="Y34" s="75">
        <f t="shared" ref="Y34:AB34" si="154">Y33*CONVERT(1,"ft","m")</f>
        <v>1.524</v>
      </c>
      <c r="Z34" s="75">
        <f t="shared" si="154"/>
        <v>1.524</v>
      </c>
      <c r="AA34" s="75">
        <f t="shared" si="154"/>
        <v>1.524</v>
      </c>
      <c r="AB34" s="75">
        <f t="shared" si="154"/>
        <v>1.524</v>
      </c>
      <c r="AC34" s="75">
        <f t="shared" ref="AC34:AF34" si="155">AC33*CONVERT(1,"ft","m")</f>
        <v>1.524</v>
      </c>
      <c r="AD34" s="75">
        <f t="shared" si="155"/>
        <v>1.524</v>
      </c>
      <c r="AE34" s="75">
        <f t="shared" si="155"/>
        <v>1.524</v>
      </c>
      <c r="AF34" s="75">
        <f t="shared" si="155"/>
        <v>1.524</v>
      </c>
      <c r="AG34" s="75">
        <f t="shared" ref="AG34:AJ34" si="156">AG33*CONVERT(1,"ft","m")</f>
        <v>1.524</v>
      </c>
      <c r="AH34" s="75">
        <f t="shared" si="156"/>
        <v>1.524</v>
      </c>
      <c r="AI34" s="75">
        <f t="shared" si="156"/>
        <v>1.524</v>
      </c>
      <c r="AJ34" s="75">
        <f t="shared" si="156"/>
        <v>1.524</v>
      </c>
      <c r="AK34" s="10"/>
    </row>
    <row r="35" spans="1:37" x14ac:dyDescent="0.25">
      <c r="A35" s="95"/>
      <c r="B35" s="12" t="s">
        <v>142</v>
      </c>
      <c r="C35" s="11" t="s">
        <v>143</v>
      </c>
      <c r="D35" s="11" t="s">
        <v>18</v>
      </c>
      <c r="E35" s="11">
        <f t="shared" ref="E35:X35" si="157">E32^2/E30</f>
        <v>11.06</v>
      </c>
      <c r="F35" s="11">
        <f t="shared" si="157"/>
        <v>11.06</v>
      </c>
      <c r="G35" s="11">
        <f t="shared" si="157"/>
        <v>11.06</v>
      </c>
      <c r="H35" s="11">
        <f t="shared" si="157"/>
        <v>11.06</v>
      </c>
      <c r="I35" s="11">
        <f t="shared" ref="I35:L35" si="158">I32^2/I30</f>
        <v>11.06</v>
      </c>
      <c r="J35" s="11">
        <f t="shared" si="158"/>
        <v>11.06</v>
      </c>
      <c r="K35" s="11">
        <f t="shared" si="158"/>
        <v>11.06</v>
      </c>
      <c r="L35" s="11">
        <f t="shared" si="158"/>
        <v>11.06</v>
      </c>
      <c r="M35" s="11">
        <f t="shared" ref="M35:P35" si="159">M32^2/M30</f>
        <v>11.06</v>
      </c>
      <c r="N35" s="11">
        <f t="shared" si="159"/>
        <v>11.06</v>
      </c>
      <c r="O35" s="11">
        <f t="shared" si="159"/>
        <v>11.06</v>
      </c>
      <c r="P35" s="11">
        <f t="shared" si="159"/>
        <v>11.06</v>
      </c>
      <c r="Q35" s="11">
        <f t="shared" ref="Q35:T35" si="160">Q32^2/Q30</f>
        <v>11.06</v>
      </c>
      <c r="R35" s="11">
        <f t="shared" si="160"/>
        <v>11.06</v>
      </c>
      <c r="S35" s="11">
        <f t="shared" si="160"/>
        <v>11.06</v>
      </c>
      <c r="T35" s="11">
        <f t="shared" si="160"/>
        <v>11.06</v>
      </c>
      <c r="U35" s="11">
        <f t="shared" si="157"/>
        <v>11.06</v>
      </c>
      <c r="V35" s="11">
        <f t="shared" si="157"/>
        <v>11.06</v>
      </c>
      <c r="W35" s="11">
        <f t="shared" si="157"/>
        <v>11.06</v>
      </c>
      <c r="X35" s="11">
        <f t="shared" si="157"/>
        <v>11.06</v>
      </c>
      <c r="Y35" s="11">
        <f t="shared" ref="Y35:AB35" si="161">Y32^2/Y30</f>
        <v>11.06</v>
      </c>
      <c r="Z35" s="11">
        <f t="shared" si="161"/>
        <v>11.06</v>
      </c>
      <c r="AA35" s="11">
        <f t="shared" si="161"/>
        <v>11.06</v>
      </c>
      <c r="AB35" s="11">
        <f t="shared" si="161"/>
        <v>11.06</v>
      </c>
      <c r="AC35" s="11">
        <f t="shared" ref="AC35:AF35" si="162">AC32^2/AC30</f>
        <v>11.06</v>
      </c>
      <c r="AD35" s="11">
        <f t="shared" si="162"/>
        <v>11.06</v>
      </c>
      <c r="AE35" s="11">
        <f t="shared" si="162"/>
        <v>11.06</v>
      </c>
      <c r="AF35" s="11">
        <f t="shared" si="162"/>
        <v>11.06</v>
      </c>
      <c r="AG35" s="11">
        <f t="shared" ref="AG35:AJ35" si="163">AG32^2/AG30</f>
        <v>11.06</v>
      </c>
      <c r="AH35" s="11">
        <f t="shared" si="163"/>
        <v>11.06</v>
      </c>
      <c r="AI35" s="11">
        <f t="shared" si="163"/>
        <v>11.06</v>
      </c>
      <c r="AJ35" s="11">
        <f t="shared" si="163"/>
        <v>11.06</v>
      </c>
      <c r="AK35" s="10"/>
    </row>
    <row r="36" spans="1:37" x14ac:dyDescent="0.25">
      <c r="A36" s="95"/>
      <c r="B36" s="74" t="s">
        <v>126</v>
      </c>
      <c r="C36" s="74" t="s">
        <v>129</v>
      </c>
      <c r="D36" s="74" t="s">
        <v>127</v>
      </c>
      <c r="E36" s="74">
        <v>10</v>
      </c>
      <c r="F36" s="74">
        <v>10</v>
      </c>
      <c r="G36" s="74">
        <v>10</v>
      </c>
      <c r="H36" s="74">
        <v>10</v>
      </c>
      <c r="I36" s="74">
        <v>10</v>
      </c>
      <c r="J36" s="74">
        <v>10</v>
      </c>
      <c r="K36" s="74">
        <v>10</v>
      </c>
      <c r="L36" s="74">
        <v>10</v>
      </c>
      <c r="M36" s="74">
        <v>10</v>
      </c>
      <c r="N36" s="74">
        <v>10</v>
      </c>
      <c r="O36" s="74">
        <v>10</v>
      </c>
      <c r="P36" s="74">
        <v>10</v>
      </c>
      <c r="Q36" s="74">
        <v>10</v>
      </c>
      <c r="R36" s="74">
        <v>10</v>
      </c>
      <c r="S36" s="74">
        <v>10</v>
      </c>
      <c r="T36" s="74">
        <v>10</v>
      </c>
      <c r="U36" s="74">
        <v>10</v>
      </c>
      <c r="V36" s="74">
        <v>10</v>
      </c>
      <c r="W36" s="74">
        <v>10</v>
      </c>
      <c r="X36" s="74">
        <v>10</v>
      </c>
      <c r="Y36" s="74">
        <v>10</v>
      </c>
      <c r="Z36" s="74">
        <v>10</v>
      </c>
      <c r="AA36" s="74">
        <v>10</v>
      </c>
      <c r="AB36" s="74">
        <v>10</v>
      </c>
      <c r="AC36" s="74">
        <v>10</v>
      </c>
      <c r="AD36" s="74">
        <v>10</v>
      </c>
      <c r="AE36" s="74">
        <v>10</v>
      </c>
      <c r="AF36" s="74">
        <v>10</v>
      </c>
      <c r="AG36" s="74">
        <v>10</v>
      </c>
      <c r="AH36" s="74">
        <v>10</v>
      </c>
      <c r="AI36" s="74">
        <v>10</v>
      </c>
      <c r="AJ36" s="74">
        <v>10</v>
      </c>
      <c r="AK36" s="10"/>
    </row>
    <row r="37" spans="1:37" x14ac:dyDescent="0.25">
      <c r="A37" s="95"/>
      <c r="B37" s="74" t="s">
        <v>128</v>
      </c>
      <c r="C37" s="74" t="s">
        <v>130</v>
      </c>
      <c r="D37" s="74" t="s">
        <v>127</v>
      </c>
      <c r="E37" s="74">
        <v>30</v>
      </c>
      <c r="F37" s="74">
        <v>30</v>
      </c>
      <c r="G37" s="74">
        <v>30</v>
      </c>
      <c r="H37" s="74">
        <v>30</v>
      </c>
      <c r="I37" s="74">
        <v>30</v>
      </c>
      <c r="J37" s="74">
        <v>30</v>
      </c>
      <c r="K37" s="74">
        <v>30</v>
      </c>
      <c r="L37" s="74">
        <v>30</v>
      </c>
      <c r="M37" s="74">
        <v>30</v>
      </c>
      <c r="N37" s="74">
        <v>30</v>
      </c>
      <c r="O37" s="74">
        <v>30</v>
      </c>
      <c r="P37" s="74">
        <v>30</v>
      </c>
      <c r="Q37" s="74">
        <v>30</v>
      </c>
      <c r="R37" s="74">
        <v>30</v>
      </c>
      <c r="S37" s="74">
        <v>30</v>
      </c>
      <c r="T37" s="74">
        <v>30</v>
      </c>
      <c r="U37" s="74">
        <v>30</v>
      </c>
      <c r="V37" s="74">
        <v>30</v>
      </c>
      <c r="W37" s="74">
        <v>30</v>
      </c>
      <c r="X37" s="74">
        <v>30</v>
      </c>
      <c r="Y37" s="74">
        <v>30</v>
      </c>
      <c r="Z37" s="74">
        <v>30</v>
      </c>
      <c r="AA37" s="74">
        <v>30</v>
      </c>
      <c r="AB37" s="74">
        <v>30</v>
      </c>
      <c r="AC37" s="74">
        <v>30</v>
      </c>
      <c r="AD37" s="74">
        <v>30</v>
      </c>
      <c r="AE37" s="74">
        <v>30</v>
      </c>
      <c r="AF37" s="74">
        <v>30</v>
      </c>
      <c r="AG37" s="74">
        <v>30</v>
      </c>
      <c r="AH37" s="74">
        <v>30</v>
      </c>
      <c r="AI37" s="74">
        <v>30</v>
      </c>
      <c r="AJ37" s="74">
        <v>30</v>
      </c>
      <c r="AK37" s="10"/>
    </row>
    <row r="38" spans="1:37" x14ac:dyDescent="0.25">
      <c r="A38" s="95"/>
      <c r="B38" s="76" t="s">
        <v>137</v>
      </c>
      <c r="C38" s="11" t="s">
        <v>147</v>
      </c>
      <c r="D38" s="11" t="s">
        <v>18</v>
      </c>
      <c r="E38" s="16">
        <v>2.8</v>
      </c>
      <c r="F38" s="16">
        <v>2.8</v>
      </c>
      <c r="G38" s="16">
        <v>2.8</v>
      </c>
      <c r="H38" s="16">
        <v>2.8</v>
      </c>
      <c r="I38" s="16">
        <v>2.8</v>
      </c>
      <c r="J38" s="16">
        <v>2.8</v>
      </c>
      <c r="K38" s="16">
        <v>2.8</v>
      </c>
      <c r="L38" s="16">
        <v>2.8</v>
      </c>
      <c r="M38" s="16">
        <v>2.8</v>
      </c>
      <c r="N38" s="16">
        <v>2.8</v>
      </c>
      <c r="O38" s="16">
        <v>2.8</v>
      </c>
      <c r="P38" s="16">
        <v>2.8</v>
      </c>
      <c r="Q38" s="16">
        <v>2.8</v>
      </c>
      <c r="R38" s="16">
        <v>2.8</v>
      </c>
      <c r="S38" s="16">
        <v>2.8</v>
      </c>
      <c r="T38" s="16">
        <v>2.8</v>
      </c>
      <c r="U38" s="16">
        <v>3.26</v>
      </c>
      <c r="V38" s="16">
        <v>3.26</v>
      </c>
      <c r="W38" s="16">
        <v>3.26</v>
      </c>
      <c r="X38" s="16">
        <v>3.26</v>
      </c>
      <c r="Y38" s="16">
        <v>3.26</v>
      </c>
      <c r="Z38" s="16">
        <v>3.26</v>
      </c>
      <c r="AA38" s="16">
        <v>3.26</v>
      </c>
      <c r="AB38" s="16">
        <v>3.26</v>
      </c>
      <c r="AC38" s="16">
        <v>3.26</v>
      </c>
      <c r="AD38" s="16">
        <v>3.26</v>
      </c>
      <c r="AE38" s="16">
        <v>3.26</v>
      </c>
      <c r="AF38" s="16">
        <v>3.26</v>
      </c>
      <c r="AG38" s="16">
        <v>3.26</v>
      </c>
      <c r="AH38" s="16">
        <v>3.26</v>
      </c>
      <c r="AI38" s="16">
        <v>3.26</v>
      </c>
      <c r="AJ38" s="16">
        <v>3.26</v>
      </c>
      <c r="AK38" s="10" t="s">
        <v>153</v>
      </c>
    </row>
    <row r="39" spans="1:37" x14ac:dyDescent="0.25">
      <c r="A39" s="95"/>
      <c r="B39" s="76" t="s">
        <v>154</v>
      </c>
      <c r="C39" s="11" t="s">
        <v>154</v>
      </c>
      <c r="D39" s="11"/>
      <c r="E39" s="16">
        <f t="shared" ref="E39:X39" si="164">E38/E24^2</f>
        <v>2.3140495867768589</v>
      </c>
      <c r="F39" s="16">
        <f t="shared" si="164"/>
        <v>2.3140495867768589</v>
      </c>
      <c r="G39" s="16">
        <f t="shared" si="164"/>
        <v>2.3140495867768589</v>
      </c>
      <c r="H39" s="16">
        <f t="shared" si="164"/>
        <v>2.3140495867768589</v>
      </c>
      <c r="I39" s="16">
        <f t="shared" si="164"/>
        <v>2.3140495867768589</v>
      </c>
      <c r="J39" s="16">
        <f t="shared" si="164"/>
        <v>2.3140495867768589</v>
      </c>
      <c r="K39" s="16">
        <f t="shared" si="164"/>
        <v>2.3140495867768589</v>
      </c>
      <c r="L39" s="16">
        <f t="shared" si="164"/>
        <v>2.3140495867768589</v>
      </c>
      <c r="M39" s="16">
        <f t="shared" si="164"/>
        <v>2.3140495867768589</v>
      </c>
      <c r="N39" s="16">
        <f t="shared" si="164"/>
        <v>2.3140495867768589</v>
      </c>
      <c r="O39" s="16">
        <f t="shared" si="164"/>
        <v>2.3140495867768589</v>
      </c>
      <c r="P39" s="16">
        <f t="shared" si="164"/>
        <v>2.3140495867768589</v>
      </c>
      <c r="Q39" s="16">
        <f t="shared" si="164"/>
        <v>2.3140495867768589</v>
      </c>
      <c r="R39" s="16">
        <f t="shared" si="164"/>
        <v>2.3140495867768589</v>
      </c>
      <c r="S39" s="16">
        <f t="shared" si="164"/>
        <v>2.3140495867768589</v>
      </c>
      <c r="T39" s="16">
        <f t="shared" si="164"/>
        <v>2.3140495867768589</v>
      </c>
      <c r="U39" s="16">
        <f t="shared" si="164"/>
        <v>2.6942148760330573</v>
      </c>
      <c r="V39" s="16">
        <f t="shared" si="164"/>
        <v>2.6942148760330573</v>
      </c>
      <c r="W39" s="16">
        <f t="shared" si="164"/>
        <v>2.6942148760330573</v>
      </c>
      <c r="X39" s="16">
        <f t="shared" si="164"/>
        <v>2.6942148760330573</v>
      </c>
      <c r="Y39" s="16">
        <f t="shared" ref="Y39" si="165">Y38/Y24^2</f>
        <v>2.6942148760330573</v>
      </c>
      <c r="Z39" s="16">
        <f t="shared" ref="Z39" si="166">Z38/Z24^2</f>
        <v>2.6942148760330573</v>
      </c>
      <c r="AA39" s="16">
        <f t="shared" ref="AA39" si="167">AA38/AA24^2</f>
        <v>2.6942148760330573</v>
      </c>
      <c r="AB39" s="16">
        <f t="shared" ref="AB39" si="168">AB38/AB24^2</f>
        <v>2.6942148760330573</v>
      </c>
      <c r="AC39" s="16">
        <f t="shared" ref="AC39" si="169">AC38/AC24^2</f>
        <v>2.6942148760330573</v>
      </c>
      <c r="AD39" s="16">
        <f t="shared" ref="AD39" si="170">AD38/AD24^2</f>
        <v>2.6942148760330573</v>
      </c>
      <c r="AE39" s="16">
        <f t="shared" ref="AE39" si="171">AE38/AE24^2</f>
        <v>2.6942148760330573</v>
      </c>
      <c r="AF39" s="16">
        <f t="shared" ref="AF39" si="172">AF38/AF24^2</f>
        <v>2.6942148760330573</v>
      </c>
      <c r="AG39" s="16">
        <f t="shared" ref="AG39" si="173">AG38/AG24^2</f>
        <v>2.6942148760330573</v>
      </c>
      <c r="AH39" s="16">
        <f t="shared" ref="AH39" si="174">AH38/AH24^2</f>
        <v>2.6942148760330573</v>
      </c>
      <c r="AI39" s="16">
        <f t="shared" ref="AI39" si="175">AI38/AI24^2</f>
        <v>2.6942148760330573</v>
      </c>
      <c r="AJ39" s="16">
        <f t="shared" ref="AJ39" si="176">AJ38/AJ24^2</f>
        <v>2.6942148760330573</v>
      </c>
      <c r="AK39" s="10" t="s">
        <v>155</v>
      </c>
    </row>
    <row r="40" spans="1:37" x14ac:dyDescent="0.25">
      <c r="A40" s="95"/>
      <c r="B40" s="11" t="s">
        <v>136</v>
      </c>
      <c r="C40" s="11" t="s">
        <v>148</v>
      </c>
      <c r="D40" s="11" t="s">
        <v>18</v>
      </c>
      <c r="E40" s="11">
        <v>0.05</v>
      </c>
      <c r="F40" s="11">
        <v>0.05</v>
      </c>
      <c r="G40" s="11">
        <v>0.05</v>
      </c>
      <c r="H40" s="11">
        <v>0.05</v>
      </c>
      <c r="I40" s="11">
        <v>0.05</v>
      </c>
      <c r="J40" s="11">
        <v>0.05</v>
      </c>
      <c r="K40" s="11">
        <v>0.05</v>
      </c>
      <c r="L40" s="11">
        <v>0.05</v>
      </c>
      <c r="M40" s="11">
        <v>0.05</v>
      </c>
      <c r="N40" s="11">
        <v>0.05</v>
      </c>
      <c r="O40" s="11">
        <v>0.05</v>
      </c>
      <c r="P40" s="11">
        <v>0.05</v>
      </c>
      <c r="Q40" s="11">
        <v>0.05</v>
      </c>
      <c r="R40" s="11">
        <v>0.05</v>
      </c>
      <c r="S40" s="11">
        <v>0.05</v>
      </c>
      <c r="T40" s="11">
        <v>0.05</v>
      </c>
      <c r="U40" s="11">
        <v>0.05</v>
      </c>
      <c r="V40" s="11">
        <v>0.05</v>
      </c>
      <c r="W40" s="11">
        <v>0.05</v>
      </c>
      <c r="X40" s="11">
        <v>0.05</v>
      </c>
      <c r="Y40" s="11">
        <v>0.05</v>
      </c>
      <c r="Z40" s="11">
        <v>0.05</v>
      </c>
      <c r="AA40" s="11">
        <v>0.05</v>
      </c>
      <c r="AB40" s="11">
        <v>0.05</v>
      </c>
      <c r="AC40" s="11">
        <v>0.05</v>
      </c>
      <c r="AD40" s="11">
        <v>0.05</v>
      </c>
      <c r="AE40" s="11">
        <v>0.05</v>
      </c>
      <c r="AF40" s="11">
        <v>0.05</v>
      </c>
      <c r="AG40" s="11">
        <v>0.05</v>
      </c>
      <c r="AH40" s="11">
        <v>0.05</v>
      </c>
      <c r="AI40" s="11">
        <v>0.05</v>
      </c>
      <c r="AJ40" s="11">
        <v>0.05</v>
      </c>
      <c r="AK40" s="10" t="s">
        <v>251</v>
      </c>
    </row>
    <row r="41" spans="1:37" x14ac:dyDescent="0.25">
      <c r="A41" s="95"/>
      <c r="B41" s="12" t="s">
        <v>236</v>
      </c>
      <c r="C41" s="11" t="s">
        <v>235</v>
      </c>
      <c r="D41" s="11"/>
      <c r="E41" s="16">
        <v>0.8</v>
      </c>
      <c r="F41" s="16">
        <v>0.8</v>
      </c>
      <c r="G41" s="16">
        <v>0.8</v>
      </c>
      <c r="H41" s="16">
        <v>0.8</v>
      </c>
      <c r="I41" s="16">
        <v>0.8</v>
      </c>
      <c r="J41" s="16">
        <v>0.8</v>
      </c>
      <c r="K41" s="16">
        <v>0.8</v>
      </c>
      <c r="L41" s="16">
        <v>0.8</v>
      </c>
      <c r="M41" s="16">
        <v>0.8</v>
      </c>
      <c r="N41" s="16">
        <v>0.8</v>
      </c>
      <c r="O41" s="16">
        <v>0.8</v>
      </c>
      <c r="P41" s="16">
        <v>0.8</v>
      </c>
      <c r="Q41" s="16">
        <v>0.8</v>
      </c>
      <c r="R41" s="16">
        <v>0.8</v>
      </c>
      <c r="S41" s="16">
        <v>0.8</v>
      </c>
      <c r="T41" s="16">
        <v>0.8</v>
      </c>
      <c r="U41" s="16">
        <v>0.8</v>
      </c>
      <c r="V41" s="16">
        <v>0.8</v>
      </c>
      <c r="W41" s="16">
        <v>0.8</v>
      </c>
      <c r="X41" s="16">
        <v>0.8</v>
      </c>
      <c r="Y41" s="16">
        <v>0.8</v>
      </c>
      <c r="Z41" s="16">
        <v>0.8</v>
      </c>
      <c r="AA41" s="16">
        <v>0.8</v>
      </c>
      <c r="AB41" s="16">
        <v>0.8</v>
      </c>
      <c r="AC41" s="16">
        <v>0.8</v>
      </c>
      <c r="AD41" s="16">
        <v>0.8</v>
      </c>
      <c r="AE41" s="16">
        <v>0.8</v>
      </c>
      <c r="AF41" s="16">
        <v>0.8</v>
      </c>
      <c r="AG41" s="16">
        <v>0.8</v>
      </c>
      <c r="AH41" s="16">
        <v>0.8</v>
      </c>
      <c r="AI41" s="16">
        <v>0.8</v>
      </c>
      <c r="AJ41" s="16">
        <v>0.8</v>
      </c>
      <c r="AK41" s="10"/>
    </row>
    <row r="42" spans="1:37" x14ac:dyDescent="0.25">
      <c r="A42" s="95"/>
      <c r="B42" s="11" t="s">
        <v>239</v>
      </c>
      <c r="C42" s="11" t="s">
        <v>172</v>
      </c>
      <c r="D42" s="11" t="s">
        <v>18</v>
      </c>
      <c r="E42" s="17">
        <f t="shared" ref="E42:X42" si="177">1/(PI()*E41*E35)</f>
        <v>3.5975348800157174E-2</v>
      </c>
      <c r="F42" s="17">
        <f t="shared" si="177"/>
        <v>3.5975348800157174E-2</v>
      </c>
      <c r="G42" s="17">
        <f t="shared" si="177"/>
        <v>3.5975348800157174E-2</v>
      </c>
      <c r="H42" s="17">
        <f t="shared" si="177"/>
        <v>3.5975348800157174E-2</v>
      </c>
      <c r="I42" s="17">
        <f t="shared" ref="I42" si="178">1/(PI()*I41*I35)</f>
        <v>3.5975348800157174E-2</v>
      </c>
      <c r="J42" s="17">
        <f t="shared" ref="J42" si="179">1/(PI()*J41*J35)</f>
        <v>3.5975348800157174E-2</v>
      </c>
      <c r="K42" s="17">
        <f t="shared" ref="K42" si="180">1/(PI()*K41*K35)</f>
        <v>3.5975348800157174E-2</v>
      </c>
      <c r="L42" s="17">
        <f t="shared" ref="L42" si="181">1/(PI()*L41*L35)</f>
        <v>3.5975348800157174E-2</v>
      </c>
      <c r="M42" s="17">
        <f t="shared" ref="M42" si="182">1/(PI()*M41*M35)</f>
        <v>3.5975348800157174E-2</v>
      </c>
      <c r="N42" s="17">
        <f t="shared" ref="N42" si="183">1/(PI()*N41*N35)</f>
        <v>3.5975348800157174E-2</v>
      </c>
      <c r="O42" s="17">
        <f t="shared" ref="O42" si="184">1/(PI()*O41*O35)</f>
        <v>3.5975348800157174E-2</v>
      </c>
      <c r="P42" s="17">
        <f t="shared" ref="P42" si="185">1/(PI()*P41*P35)</f>
        <v>3.5975348800157174E-2</v>
      </c>
      <c r="Q42" s="17">
        <f t="shared" ref="Q42" si="186">1/(PI()*Q41*Q35)</f>
        <v>3.5975348800157174E-2</v>
      </c>
      <c r="R42" s="17">
        <f t="shared" ref="R42" si="187">1/(PI()*R41*R35)</f>
        <v>3.5975348800157174E-2</v>
      </c>
      <c r="S42" s="17">
        <f t="shared" ref="S42" si="188">1/(PI()*S41*S35)</f>
        <v>3.5975348800157174E-2</v>
      </c>
      <c r="T42" s="17">
        <f t="shared" ref="T42" si="189">1/(PI()*T41*T35)</f>
        <v>3.5975348800157174E-2</v>
      </c>
      <c r="U42" s="17">
        <f t="shared" si="177"/>
        <v>3.5975348800157174E-2</v>
      </c>
      <c r="V42" s="17">
        <f t="shared" si="177"/>
        <v>3.5975348800157174E-2</v>
      </c>
      <c r="W42" s="17">
        <f t="shared" si="177"/>
        <v>3.5975348800157174E-2</v>
      </c>
      <c r="X42" s="17">
        <f t="shared" si="177"/>
        <v>3.5975348800157174E-2</v>
      </c>
      <c r="Y42" s="17">
        <f t="shared" ref="Y42:AB42" si="190">1/(PI()*Y41*Y35)</f>
        <v>3.5975348800157174E-2</v>
      </c>
      <c r="Z42" s="17">
        <f t="shared" si="190"/>
        <v>3.5975348800157174E-2</v>
      </c>
      <c r="AA42" s="17">
        <f t="shared" si="190"/>
        <v>3.5975348800157174E-2</v>
      </c>
      <c r="AB42" s="17">
        <f t="shared" si="190"/>
        <v>3.5975348800157174E-2</v>
      </c>
      <c r="AC42" s="17">
        <f t="shared" ref="AC42:AF42" si="191">1/(PI()*AC41*AC35)</f>
        <v>3.5975348800157174E-2</v>
      </c>
      <c r="AD42" s="17">
        <f t="shared" si="191"/>
        <v>3.5975348800157174E-2</v>
      </c>
      <c r="AE42" s="17">
        <f t="shared" si="191"/>
        <v>3.5975348800157174E-2</v>
      </c>
      <c r="AF42" s="17">
        <f t="shared" si="191"/>
        <v>3.5975348800157174E-2</v>
      </c>
      <c r="AG42" s="17">
        <f t="shared" ref="AG42:AJ42" si="192">1/(PI()*AG41*AG35)</f>
        <v>3.5975348800157174E-2</v>
      </c>
      <c r="AH42" s="17">
        <f t="shared" si="192"/>
        <v>3.5975348800157174E-2</v>
      </c>
      <c r="AI42" s="17">
        <f t="shared" si="192"/>
        <v>3.5975348800157174E-2</v>
      </c>
      <c r="AJ42" s="17">
        <f t="shared" si="192"/>
        <v>3.5975348800157174E-2</v>
      </c>
      <c r="AK42" s="10" t="s">
        <v>139</v>
      </c>
    </row>
    <row r="43" spans="1:37" x14ac:dyDescent="0.25">
      <c r="A43" s="95"/>
      <c r="B43" s="11" t="s">
        <v>307</v>
      </c>
      <c r="C43" s="11" t="s">
        <v>307</v>
      </c>
      <c r="D43" s="11" t="s">
        <v>18</v>
      </c>
      <c r="E43" s="17">
        <f t="shared" ref="E43:X43" si="193">E40+E42*E39^2</f>
        <v>0.24264171476895846</v>
      </c>
      <c r="F43" s="17">
        <f t="shared" si="193"/>
        <v>0.24264171476895846</v>
      </c>
      <c r="G43" s="17">
        <f t="shared" si="193"/>
        <v>0.24264171476895846</v>
      </c>
      <c r="H43" s="17">
        <f t="shared" si="193"/>
        <v>0.24264171476895846</v>
      </c>
      <c r="I43" s="17">
        <f t="shared" ref="I43" si="194">I40+I42*I39^2</f>
        <v>0.24264171476895846</v>
      </c>
      <c r="J43" s="17">
        <f t="shared" ref="J43" si="195">J40+J42*J39^2</f>
        <v>0.24264171476895846</v>
      </c>
      <c r="K43" s="17">
        <f t="shared" ref="K43" si="196">K40+K42*K39^2</f>
        <v>0.24264171476895846</v>
      </c>
      <c r="L43" s="17">
        <f t="shared" ref="L43" si="197">L40+L42*L39^2</f>
        <v>0.24264171476895846</v>
      </c>
      <c r="M43" s="17">
        <f t="shared" ref="M43" si="198">M40+M42*M39^2</f>
        <v>0.24264171476895846</v>
      </c>
      <c r="N43" s="17">
        <f t="shared" ref="N43" si="199">N40+N42*N39^2</f>
        <v>0.24264171476895846</v>
      </c>
      <c r="O43" s="17">
        <f t="shared" ref="O43" si="200">O40+O42*O39^2</f>
        <v>0.24264171476895846</v>
      </c>
      <c r="P43" s="17">
        <f t="shared" ref="P43" si="201">P40+P42*P39^2</f>
        <v>0.24264171476895846</v>
      </c>
      <c r="Q43" s="17">
        <f t="shared" ref="Q43" si="202">Q40+Q42*Q39^2</f>
        <v>0.24264171476895846</v>
      </c>
      <c r="R43" s="17">
        <f t="shared" ref="R43" si="203">R40+R42*R39^2</f>
        <v>0.24264171476895846</v>
      </c>
      <c r="S43" s="17">
        <f t="shared" ref="S43" si="204">S40+S42*S39^2</f>
        <v>0.24264171476895846</v>
      </c>
      <c r="T43" s="17">
        <f t="shared" ref="T43" si="205">T40+T42*T39^2</f>
        <v>0.24264171476895846</v>
      </c>
      <c r="U43" s="17">
        <f t="shared" si="193"/>
        <v>0.31113763876002337</v>
      </c>
      <c r="V43" s="17">
        <f t="shared" si="193"/>
        <v>0.31113763876002337</v>
      </c>
      <c r="W43" s="17">
        <f t="shared" si="193"/>
        <v>0.31113763876002337</v>
      </c>
      <c r="X43" s="17">
        <f t="shared" si="193"/>
        <v>0.31113763876002337</v>
      </c>
      <c r="Y43" s="17">
        <f t="shared" ref="Y43:AB43" si="206">Y40+Y42*Y39^2</f>
        <v>0.31113763876002337</v>
      </c>
      <c r="Z43" s="17">
        <f t="shared" si="206"/>
        <v>0.31113763876002337</v>
      </c>
      <c r="AA43" s="17">
        <f t="shared" si="206"/>
        <v>0.31113763876002337</v>
      </c>
      <c r="AB43" s="17">
        <f t="shared" si="206"/>
        <v>0.31113763876002337</v>
      </c>
      <c r="AC43" s="17">
        <f t="shared" ref="AC43:AF43" si="207">AC40+AC42*AC39^2</f>
        <v>0.31113763876002337</v>
      </c>
      <c r="AD43" s="17">
        <f t="shared" si="207"/>
        <v>0.31113763876002337</v>
      </c>
      <c r="AE43" s="17">
        <f t="shared" si="207"/>
        <v>0.31113763876002337</v>
      </c>
      <c r="AF43" s="17">
        <f t="shared" si="207"/>
        <v>0.31113763876002337</v>
      </c>
      <c r="AG43" s="17">
        <f t="shared" ref="AG43:AJ43" si="208">AG40+AG42*AG39^2</f>
        <v>0.31113763876002337</v>
      </c>
      <c r="AH43" s="17">
        <f t="shared" si="208"/>
        <v>0.31113763876002337</v>
      </c>
      <c r="AI43" s="17">
        <f t="shared" si="208"/>
        <v>0.31113763876002337</v>
      </c>
      <c r="AJ43" s="17">
        <f t="shared" si="208"/>
        <v>0.31113763876002337</v>
      </c>
      <c r="AK43" s="10" t="s">
        <v>308</v>
      </c>
    </row>
    <row r="44" spans="1:37" x14ac:dyDescent="0.25">
      <c r="A44" s="95"/>
      <c r="B44" s="73" t="s">
        <v>385</v>
      </c>
      <c r="C44" s="11" t="s">
        <v>383</v>
      </c>
      <c r="D44" s="11" t="s">
        <v>384</v>
      </c>
      <c r="E44" s="15">
        <f>MIN(467,504*(E10/101325)*SQRT(E8/288.15))</f>
        <v>467</v>
      </c>
      <c r="F44" s="15">
        <f t="shared" ref="F44:X44" si="209">MIN(467,504*(F10/101325)*SQRT(F8/288.15))</f>
        <v>465.44800838577783</v>
      </c>
      <c r="G44" s="15">
        <f t="shared" si="209"/>
        <v>429.36567460556336</v>
      </c>
      <c r="H44" s="15">
        <f t="shared" si="209"/>
        <v>395.62633771263506</v>
      </c>
      <c r="I44" s="15">
        <f t="shared" si="209"/>
        <v>467</v>
      </c>
      <c r="J44" s="15">
        <f t="shared" si="209"/>
        <v>465.44800838577783</v>
      </c>
      <c r="K44" s="15">
        <f t="shared" si="209"/>
        <v>429.36567460556336</v>
      </c>
      <c r="L44" s="15">
        <f t="shared" si="209"/>
        <v>395.62633771263506</v>
      </c>
      <c r="M44" s="15">
        <f t="shared" si="209"/>
        <v>467</v>
      </c>
      <c r="N44" s="15">
        <f t="shared" si="209"/>
        <v>465.44800838577783</v>
      </c>
      <c r="O44" s="15">
        <f t="shared" si="209"/>
        <v>429.36567460556336</v>
      </c>
      <c r="P44" s="15">
        <f t="shared" si="209"/>
        <v>395.62633771263506</v>
      </c>
      <c r="Q44" s="15">
        <f t="shared" si="209"/>
        <v>467</v>
      </c>
      <c r="R44" s="15">
        <f t="shared" si="209"/>
        <v>465.44800838577783</v>
      </c>
      <c r="S44" s="15">
        <f t="shared" si="209"/>
        <v>429.36567460556336</v>
      </c>
      <c r="T44" s="15">
        <f t="shared" si="209"/>
        <v>395.62633771263506</v>
      </c>
      <c r="U44" s="15">
        <f t="shared" si="209"/>
        <v>467</v>
      </c>
      <c r="V44" s="15">
        <f t="shared" si="209"/>
        <v>465.44800838577783</v>
      </c>
      <c r="W44" s="15">
        <f t="shared" si="209"/>
        <v>429.36567460556336</v>
      </c>
      <c r="X44" s="15">
        <f t="shared" si="209"/>
        <v>395.62633771263506</v>
      </c>
      <c r="Y44" s="15">
        <f t="shared" ref="Y44:AB44" si="210">MIN(467,504*(Y10/101325)*SQRT(Y8/288.15))</f>
        <v>467</v>
      </c>
      <c r="Z44" s="15">
        <f t="shared" si="210"/>
        <v>465.44800838577783</v>
      </c>
      <c r="AA44" s="15">
        <f t="shared" si="210"/>
        <v>429.36567460556336</v>
      </c>
      <c r="AB44" s="15">
        <f t="shared" si="210"/>
        <v>395.62633771263506</v>
      </c>
      <c r="AC44" s="15">
        <f t="shared" ref="AC44:AF44" si="211">MIN(467,504*(AC10/101325)*SQRT(AC8/288.15))</f>
        <v>467</v>
      </c>
      <c r="AD44" s="15">
        <f t="shared" si="211"/>
        <v>465.44800838577783</v>
      </c>
      <c r="AE44" s="15">
        <f t="shared" si="211"/>
        <v>429.36567460556336</v>
      </c>
      <c r="AF44" s="15">
        <f t="shared" si="211"/>
        <v>395.62633771263506</v>
      </c>
      <c r="AG44" s="15">
        <f t="shared" ref="AG44:AJ44" si="212">MIN(467,504*(AG10/101325)*SQRT(AG8/288.15))</f>
        <v>467</v>
      </c>
      <c r="AH44" s="15">
        <f t="shared" si="212"/>
        <v>465.44800838577783</v>
      </c>
      <c r="AI44" s="15">
        <f t="shared" si="212"/>
        <v>429.36567460556336</v>
      </c>
      <c r="AJ44" s="15">
        <f t="shared" si="212"/>
        <v>395.62633771263506</v>
      </c>
      <c r="AK44" s="10"/>
    </row>
    <row r="45" spans="1:37" x14ac:dyDescent="0.25">
      <c r="A45" s="95"/>
      <c r="B45" s="73" t="s">
        <v>386</v>
      </c>
      <c r="C45" s="11" t="s">
        <v>388</v>
      </c>
      <c r="D45" s="11"/>
      <c r="E45" s="15">
        <f>0.94*(1978.9+9.25*E25-0.424444*E25^2+0.00303704*E25^3)</f>
        <v>1681.226631234764</v>
      </c>
      <c r="F45" s="15">
        <f t="shared" ref="F45:X45" si="213">0.94*(1978.9+9.25*F25-0.424444*F25^2+0.00303704*F25^3)</f>
        <v>1667.292485439413</v>
      </c>
      <c r="G45" s="15">
        <f t="shared" si="213"/>
        <v>1652.8151995442308</v>
      </c>
      <c r="H45" s="15">
        <f t="shared" si="213"/>
        <v>1637.8270751169484</v>
      </c>
      <c r="I45" s="15">
        <f t="shared" si="213"/>
        <v>1626.7392071696609</v>
      </c>
      <c r="J45" s="15">
        <f t="shared" si="213"/>
        <v>1611.8068446920242</v>
      </c>
      <c r="K45" s="15">
        <f t="shared" si="213"/>
        <v>1596.567921965019</v>
      </c>
      <c r="L45" s="15">
        <f t="shared" si="213"/>
        <v>1581.1139691597182</v>
      </c>
      <c r="M45" s="15">
        <f t="shared" si="213"/>
        <v>1580.2712124097698</v>
      </c>
      <c r="N45" s="15">
        <f t="shared" si="213"/>
        <v>1565.37103773085</v>
      </c>
      <c r="O45" s="15">
        <f t="shared" si="213"/>
        <v>1550.5213122397931</v>
      </c>
      <c r="P45" s="15">
        <f t="shared" si="213"/>
        <v>1535.888222411987</v>
      </c>
      <c r="Q45" s="15">
        <f t="shared" si="213"/>
        <v>1541.8368286116952</v>
      </c>
      <c r="R45" s="15">
        <f t="shared" si="213"/>
        <v>1527.9301913362387</v>
      </c>
      <c r="S45" s="15">
        <f t="shared" si="213"/>
        <v>1514.5418188395333</v>
      </c>
      <c r="T45" s="15">
        <f t="shared" si="213"/>
        <v>1501.9266833552076</v>
      </c>
      <c r="U45" s="15">
        <f t="shared" si="213"/>
        <v>1715.4055941826143</v>
      </c>
      <c r="V45" s="15">
        <f t="shared" si="213"/>
        <v>1702.52055499319</v>
      </c>
      <c r="W45" s="15">
        <f t="shared" si="213"/>
        <v>1689.0166106503741</v>
      </c>
      <c r="X45" s="15">
        <f t="shared" si="213"/>
        <v>1674.9000751369565</v>
      </c>
      <c r="Y45" s="15">
        <f t="shared" ref="Y45:AB45" si="214">0.94*(1978.9+9.25*Y25-0.424444*Y25^2+0.00303704*Y25^3)</f>
        <v>1664.3596823593059</v>
      </c>
      <c r="Z45" s="15">
        <f t="shared" si="214"/>
        <v>1650.0199236377393</v>
      </c>
      <c r="AA45" s="15">
        <f t="shared" si="214"/>
        <v>1635.1935086233482</v>
      </c>
      <c r="AB45" s="15">
        <f t="shared" si="214"/>
        <v>1619.9284858789088</v>
      </c>
      <c r="AC45" s="15">
        <f t="shared" ref="AC45:AF45" si="215">0.94*(1978.9+9.25*AC25-0.424444*AC25^2+0.00303704*AC25^3)</f>
        <v>1619.0886158721535</v>
      </c>
      <c r="AD45" s="15">
        <f t="shared" si="215"/>
        <v>1604.0961650495485</v>
      </c>
      <c r="AE45" s="15">
        <f t="shared" si="215"/>
        <v>1588.8443594613518</v>
      </c>
      <c r="AF45" s="15">
        <f t="shared" si="215"/>
        <v>1573.4352144409061</v>
      </c>
      <c r="AG45" s="15">
        <f t="shared" ref="AG45:AJ45" si="216">0.94*(1978.9+9.25*AG25-0.424444*AG25^2+0.00303704*AG25^3)</f>
        <v>1579.7511121287241</v>
      </c>
      <c r="AH45" s="15">
        <f t="shared" si="216"/>
        <v>1564.8574309110004</v>
      </c>
      <c r="AI45" s="15">
        <f t="shared" si="216"/>
        <v>1550.0192848301656</v>
      </c>
      <c r="AJ45" s="15">
        <f t="shared" si="216"/>
        <v>1535.4038664560114</v>
      </c>
      <c r="AK45" s="10"/>
    </row>
    <row r="46" spans="1:37" x14ac:dyDescent="0.25">
      <c r="A46" s="95"/>
      <c r="B46" s="73" t="s">
        <v>387</v>
      </c>
      <c r="C46" s="11" t="s">
        <v>389</v>
      </c>
      <c r="D46" s="11"/>
      <c r="E46" s="15">
        <f>E45*(E44/504)</f>
        <v>1557.8032475925295</v>
      </c>
      <c r="F46" s="15">
        <f t="shared" ref="F46:X46" si="217">F45*(F44/504)</f>
        <v>1539.7578705245005</v>
      </c>
      <c r="G46" s="15">
        <f t="shared" si="217"/>
        <v>1408.0597483147569</v>
      </c>
      <c r="H46" s="15">
        <f t="shared" si="217"/>
        <v>1285.6498562204665</v>
      </c>
      <c r="I46" s="15">
        <f t="shared" si="217"/>
        <v>1507.3158923576025</v>
      </c>
      <c r="J46" s="15">
        <f t="shared" si="217"/>
        <v>1488.5164400088638</v>
      </c>
      <c r="K46" s="15">
        <f t="shared" si="217"/>
        <v>1360.1417914049857</v>
      </c>
      <c r="L46" s="15">
        <f t="shared" si="217"/>
        <v>1241.1316054066419</v>
      </c>
      <c r="M46" s="15">
        <f t="shared" si="217"/>
        <v>1464.2592384828622</v>
      </c>
      <c r="N46" s="15">
        <f t="shared" si="217"/>
        <v>1445.6326029694492</v>
      </c>
      <c r="O46" s="15">
        <f t="shared" si="217"/>
        <v>1320.9139468653614</v>
      </c>
      <c r="P46" s="15">
        <f t="shared" si="217"/>
        <v>1205.6306201762372</v>
      </c>
      <c r="Q46" s="15">
        <f t="shared" si="217"/>
        <v>1428.6464265112336</v>
      </c>
      <c r="R46" s="15">
        <f t="shared" si="217"/>
        <v>1411.0556835514935</v>
      </c>
      <c r="S46" s="15">
        <f t="shared" si="217"/>
        <v>1290.2624400086768</v>
      </c>
      <c r="T46" s="15">
        <f t="shared" si="217"/>
        <v>1178.97173263632</v>
      </c>
      <c r="U46" s="15">
        <f t="shared" si="217"/>
        <v>1589.4730406414303</v>
      </c>
      <c r="V46" s="15">
        <f t="shared" si="217"/>
        <v>1572.2912729314075</v>
      </c>
      <c r="W46" s="15">
        <f t="shared" si="217"/>
        <v>1438.9003104204364</v>
      </c>
      <c r="X46" s="15">
        <f t="shared" si="217"/>
        <v>1314.7511562719274</v>
      </c>
      <c r="Y46" s="15">
        <f t="shared" ref="Y46:AB46" si="218">Y45*(Y44/504)</f>
        <v>1542.1745469480077</v>
      </c>
      <c r="Z46" s="15">
        <f t="shared" si="218"/>
        <v>1523.8065223294425</v>
      </c>
      <c r="AA46" s="15">
        <f t="shared" si="218"/>
        <v>1393.0475475013927</v>
      </c>
      <c r="AB46" s="15">
        <f t="shared" si="218"/>
        <v>1271.5999488584259</v>
      </c>
      <c r="AC46" s="15">
        <f t="shared" ref="AC46:AF46" si="219">AC45*(AC44/504)</f>
        <v>1500.2269516116978</v>
      </c>
      <c r="AD46" s="15">
        <f t="shared" si="219"/>
        <v>1481.3955660348736</v>
      </c>
      <c r="AE46" s="15">
        <f t="shared" si="219"/>
        <v>1353.5619647685862</v>
      </c>
      <c r="AF46" s="15">
        <f t="shared" si="219"/>
        <v>1235.1039911058538</v>
      </c>
      <c r="AG46" s="15">
        <f t="shared" ref="AG46:AJ46" si="220">AG45*(AG44/504)</f>
        <v>1463.7773201668933</v>
      </c>
      <c r="AH46" s="15">
        <f t="shared" si="220"/>
        <v>1445.1582829865279</v>
      </c>
      <c r="AI46" s="15">
        <f t="shared" si="220"/>
        <v>1320.486261672097</v>
      </c>
      <c r="AJ46" s="15">
        <f t="shared" si="220"/>
        <v>1205.2504138805784</v>
      </c>
      <c r="AK46" s="10"/>
    </row>
    <row r="47" spans="1:37" x14ac:dyDescent="0.25">
      <c r="A47" s="95"/>
      <c r="B47" s="87" t="s">
        <v>390</v>
      </c>
      <c r="C47" s="11" t="s">
        <v>161</v>
      </c>
      <c r="D47" s="11" t="s">
        <v>133</v>
      </c>
      <c r="E47" s="86">
        <f>E46*0.94</f>
        <v>1464.3350527369776</v>
      </c>
      <c r="F47" s="86">
        <f t="shared" ref="F47:X47" si="221">F46*0.94</f>
        <v>1447.3723982930303</v>
      </c>
      <c r="G47" s="86">
        <f t="shared" si="221"/>
        <v>1323.5761634158714</v>
      </c>
      <c r="H47" s="86">
        <f t="shared" si="221"/>
        <v>1208.5108648472385</v>
      </c>
      <c r="I47" s="86">
        <f t="shared" si="221"/>
        <v>1416.8769388161463</v>
      </c>
      <c r="J47" s="86">
        <f t="shared" si="221"/>
        <v>1399.2054536083319</v>
      </c>
      <c r="K47" s="86">
        <f t="shared" si="221"/>
        <v>1278.5332839206865</v>
      </c>
      <c r="L47" s="86">
        <f t="shared" si="221"/>
        <v>1166.6637090822433</v>
      </c>
      <c r="M47" s="86">
        <f t="shared" si="221"/>
        <v>1376.4036841738905</v>
      </c>
      <c r="N47" s="86">
        <f t="shared" si="221"/>
        <v>1358.8946467912822</v>
      </c>
      <c r="O47" s="86">
        <f t="shared" si="221"/>
        <v>1241.6591100534397</v>
      </c>
      <c r="P47" s="86">
        <f t="shared" si="221"/>
        <v>1133.292782965663</v>
      </c>
      <c r="Q47" s="86">
        <f t="shared" si="221"/>
        <v>1342.9276409205595</v>
      </c>
      <c r="R47" s="86">
        <f t="shared" si="221"/>
        <v>1326.3923425384039</v>
      </c>
      <c r="S47" s="86">
        <f t="shared" si="221"/>
        <v>1212.8466936081561</v>
      </c>
      <c r="T47" s="86">
        <f t="shared" si="221"/>
        <v>1108.2334286781406</v>
      </c>
      <c r="U47" s="86">
        <f t="shared" si="221"/>
        <v>1494.1046582029444</v>
      </c>
      <c r="V47" s="86">
        <f t="shared" si="221"/>
        <v>1477.953796555523</v>
      </c>
      <c r="W47" s="86">
        <f t="shared" si="221"/>
        <v>1352.5662917952102</v>
      </c>
      <c r="X47" s="86">
        <f t="shared" si="221"/>
        <v>1235.8660868956117</v>
      </c>
      <c r="Y47" s="86">
        <f t="shared" ref="Y47:AB47" si="222">Y46*0.94</f>
        <v>1449.6440741311271</v>
      </c>
      <c r="Z47" s="86">
        <f t="shared" si="222"/>
        <v>1432.3781309896758</v>
      </c>
      <c r="AA47" s="86">
        <f t="shared" si="222"/>
        <v>1309.4646946513092</v>
      </c>
      <c r="AB47" s="86">
        <f t="shared" si="222"/>
        <v>1195.3039519269203</v>
      </c>
      <c r="AC47" s="86">
        <f t="shared" ref="AC47:AF47" si="223">AC46*0.94</f>
        <v>1410.2133345149959</v>
      </c>
      <c r="AD47" s="86">
        <f t="shared" si="223"/>
        <v>1392.5118320727811</v>
      </c>
      <c r="AE47" s="86">
        <f t="shared" si="223"/>
        <v>1272.3482468824709</v>
      </c>
      <c r="AF47" s="86">
        <f t="shared" si="223"/>
        <v>1160.9977516395024</v>
      </c>
      <c r="AG47" s="86">
        <f t="shared" ref="AG47:AJ47" si="224">AG46*0.94</f>
        <v>1375.9506809568798</v>
      </c>
      <c r="AH47" s="86">
        <f t="shared" si="224"/>
        <v>1358.4487860073361</v>
      </c>
      <c r="AI47" s="86">
        <f t="shared" si="224"/>
        <v>1241.2570859717712</v>
      </c>
      <c r="AJ47" s="86">
        <f t="shared" si="224"/>
        <v>1132.9353890477437</v>
      </c>
      <c r="AK47" s="10"/>
    </row>
    <row r="48" spans="1:37" x14ac:dyDescent="0.25">
      <c r="A48" s="95"/>
      <c r="B48" s="89"/>
      <c r="C48" s="11" t="s">
        <v>162</v>
      </c>
      <c r="D48" s="11" t="s">
        <v>109</v>
      </c>
      <c r="E48" s="15">
        <f t="shared" ref="E48:X48" si="225">E47*CONVERT(1,"lbf","N")</f>
        <v>6513.6868335682484</v>
      </c>
      <c r="F48" s="15">
        <f t="shared" si="225"/>
        <v>6438.2331874184874</v>
      </c>
      <c r="G48" s="15">
        <f t="shared" si="225"/>
        <v>5887.5600995500436</v>
      </c>
      <c r="H48" s="15">
        <f t="shared" si="225"/>
        <v>5375.7241512906476</v>
      </c>
      <c r="I48" s="15">
        <f t="shared" ref="I48:L48" si="226">I47*CONVERT(1,"lbf","N")</f>
        <v>6302.5826254061121</v>
      </c>
      <c r="J48" s="15">
        <f t="shared" si="226"/>
        <v>6223.9759429309552</v>
      </c>
      <c r="K48" s="15">
        <f t="shared" si="226"/>
        <v>5687.1993893659883</v>
      </c>
      <c r="L48" s="15">
        <f t="shared" si="226"/>
        <v>5189.5787284796224</v>
      </c>
      <c r="M48" s="15">
        <f t="shared" ref="M48:P48" si="227">M47*CONVERT(1,"lbf","N")</f>
        <v>6122.5486192664866</v>
      </c>
      <c r="N48" s="15">
        <f t="shared" si="227"/>
        <v>6044.6645407187643</v>
      </c>
      <c r="O48" s="15">
        <f t="shared" si="227"/>
        <v>5523.1748921248272</v>
      </c>
      <c r="P48" s="15">
        <f t="shared" si="227"/>
        <v>5041.1374536065896</v>
      </c>
      <c r="Q48" s="15">
        <f t="shared" ref="Q48:T48" si="228">Q47*CONVERT(1,"lbf","N")</f>
        <v>5973.6397600736245</v>
      </c>
      <c r="R48" s="15">
        <f t="shared" si="228"/>
        <v>5900.0870883953385</v>
      </c>
      <c r="S48" s="15">
        <f t="shared" si="228"/>
        <v>5395.0108785050297</v>
      </c>
      <c r="T48" s="15">
        <f t="shared" si="228"/>
        <v>4929.6678922003612</v>
      </c>
      <c r="U48" s="15">
        <f t="shared" si="225"/>
        <v>6646.108636079739</v>
      </c>
      <c r="V48" s="15">
        <f t="shared" si="225"/>
        <v>6574.2660241945978</v>
      </c>
      <c r="W48" s="15">
        <f t="shared" si="225"/>
        <v>6016.5146152361949</v>
      </c>
      <c r="X48" s="15">
        <f t="shared" si="225"/>
        <v>5497.4062412964722</v>
      </c>
      <c r="Y48" s="15">
        <f t="shared" ref="Y48:AB48" si="229">Y47*CONVERT(1,"lbf","N")</f>
        <v>6448.3381049843747</v>
      </c>
      <c r="Z48" s="15">
        <f t="shared" si="229"/>
        <v>6371.5353634947123</v>
      </c>
      <c r="AA48" s="15">
        <f t="shared" si="229"/>
        <v>5824.7891591684447</v>
      </c>
      <c r="AB48" s="15">
        <f t="shared" si="229"/>
        <v>5316.9768757676247</v>
      </c>
      <c r="AC48" s="15">
        <f t="shared" ref="AC48:AF48" si="230">AC47*CONVERT(1,"lbf","N")</f>
        <v>6272.9414367181917</v>
      </c>
      <c r="AD48" s="15">
        <f t="shared" si="230"/>
        <v>6194.2012309321453</v>
      </c>
      <c r="AE48" s="15">
        <f t="shared" si="230"/>
        <v>5659.6869739214108</v>
      </c>
      <c r="AF48" s="15">
        <f t="shared" si="230"/>
        <v>5164.3752941116772</v>
      </c>
      <c r="AG48" s="15">
        <f t="shared" ref="AG48:AJ48" si="231">AG47*CONVERT(1,"lbf","N")</f>
        <v>6120.533560564797</v>
      </c>
      <c r="AH48" s="15">
        <f t="shared" si="231"/>
        <v>6042.6812531422183</v>
      </c>
      <c r="AI48" s="15">
        <f t="shared" si="231"/>
        <v>5521.3865999148938</v>
      </c>
      <c r="AJ48" s="15">
        <f t="shared" si="231"/>
        <v>5039.547686255738</v>
      </c>
      <c r="AK48" s="10"/>
    </row>
    <row r="49" spans="1:37" x14ac:dyDescent="0.25">
      <c r="A49" s="95"/>
      <c r="B49" s="11" t="s">
        <v>159</v>
      </c>
      <c r="C49" s="11" t="s">
        <v>160</v>
      </c>
      <c r="D49" s="11" t="s">
        <v>109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0"/>
    </row>
    <row r="50" spans="1:37" x14ac:dyDescent="0.25">
      <c r="A50" s="88"/>
      <c r="B50" s="11" t="s">
        <v>274</v>
      </c>
      <c r="C50" s="11" t="s">
        <v>276</v>
      </c>
      <c r="D50" s="11" t="s">
        <v>109</v>
      </c>
      <c r="E50" s="15">
        <f t="shared" ref="E50:X50" si="232">0.5*E11*E26^2*(E40+E42*E39^2)</f>
        <v>87.881917104301195</v>
      </c>
      <c r="F50" s="15">
        <f t="shared" si="232"/>
        <v>87.881917104301195</v>
      </c>
      <c r="G50" s="15">
        <f t="shared" si="232"/>
        <v>87.881917104301181</v>
      </c>
      <c r="H50" s="15">
        <f t="shared" si="232"/>
        <v>87.881917104301166</v>
      </c>
      <c r="I50" s="15">
        <f t="shared" si="232"/>
        <v>109.85239638037649</v>
      </c>
      <c r="J50" s="15">
        <f t="shared" si="232"/>
        <v>109.85239638037649</v>
      </c>
      <c r="K50" s="15">
        <f t="shared" si="232"/>
        <v>109.85239638037646</v>
      </c>
      <c r="L50" s="15">
        <f t="shared" si="232"/>
        <v>109.85239638037642</v>
      </c>
      <c r="M50" s="15">
        <f t="shared" si="232"/>
        <v>131.82287565645174</v>
      </c>
      <c r="N50" s="15">
        <f t="shared" si="232"/>
        <v>131.82287565645177</v>
      </c>
      <c r="O50" s="15">
        <f t="shared" si="232"/>
        <v>131.82287565645177</v>
      </c>
      <c r="P50" s="15">
        <f t="shared" si="232"/>
        <v>131.82287565645169</v>
      </c>
      <c r="Q50" s="15">
        <f t="shared" si="232"/>
        <v>153.79335493252705</v>
      </c>
      <c r="R50" s="15">
        <f t="shared" si="232"/>
        <v>153.79335493252705</v>
      </c>
      <c r="S50" s="15">
        <f t="shared" si="232"/>
        <v>153.79335493252705</v>
      </c>
      <c r="T50" s="15">
        <f t="shared" si="232"/>
        <v>153.79335493252702</v>
      </c>
      <c r="U50" s="15">
        <f t="shared" si="232"/>
        <v>96.789230821763837</v>
      </c>
      <c r="V50" s="15">
        <f t="shared" si="232"/>
        <v>96.789230821763837</v>
      </c>
      <c r="W50" s="15">
        <f t="shared" si="232"/>
        <v>96.789230821763866</v>
      </c>
      <c r="X50" s="15">
        <f t="shared" si="232"/>
        <v>96.789230821763837</v>
      </c>
      <c r="Y50" s="15">
        <f t="shared" ref="Y50:AB50" si="233">0.5*Y11*Y26^2*(Y40+Y42*Y39^2)</f>
        <v>120.98653852720481</v>
      </c>
      <c r="Z50" s="15">
        <f t="shared" si="233"/>
        <v>120.98653852720477</v>
      </c>
      <c r="AA50" s="15">
        <f t="shared" si="233"/>
        <v>120.98653852720483</v>
      </c>
      <c r="AB50" s="15">
        <f t="shared" si="233"/>
        <v>120.98653852720479</v>
      </c>
      <c r="AC50" s="15">
        <f t="shared" ref="AC50:AF50" si="234">0.5*AC11*AC26^2*(AC40+AC42*AC39^2)</f>
        <v>145.18384623264575</v>
      </c>
      <c r="AD50" s="15">
        <f t="shared" si="234"/>
        <v>145.18384623264578</v>
      </c>
      <c r="AE50" s="15">
        <f t="shared" si="234"/>
        <v>145.18384623264575</v>
      </c>
      <c r="AF50" s="15">
        <f t="shared" si="234"/>
        <v>145.18384623264578</v>
      </c>
      <c r="AG50" s="15">
        <f t="shared" ref="AG50:AJ50" si="235">0.5*AG11*AG26^2*(AG40+AG42*AG39^2)</f>
        <v>169.38115393808675</v>
      </c>
      <c r="AH50" s="15">
        <f t="shared" si="235"/>
        <v>169.3811539380867</v>
      </c>
      <c r="AI50" s="15">
        <f t="shared" si="235"/>
        <v>169.38115393808678</v>
      </c>
      <c r="AJ50" s="15">
        <f t="shared" si="235"/>
        <v>169.38115393808675</v>
      </c>
      <c r="AK50" s="10"/>
    </row>
    <row r="51" spans="1:37" x14ac:dyDescent="0.25">
      <c r="A51" s="88"/>
      <c r="B51" s="11" t="s">
        <v>275</v>
      </c>
      <c r="C51" s="11" t="s">
        <v>277</v>
      </c>
      <c r="D51" s="11" t="s">
        <v>109</v>
      </c>
      <c r="E51" s="15">
        <f t="shared" ref="E51:X51" si="236">0.5*E11*E28^2*(E40+E42*E39^2)</f>
        <v>87.881917104301195</v>
      </c>
      <c r="F51" s="15">
        <f t="shared" si="236"/>
        <v>87.881917104301195</v>
      </c>
      <c r="G51" s="15">
        <f t="shared" si="236"/>
        <v>87.881917104301181</v>
      </c>
      <c r="H51" s="15">
        <f t="shared" si="236"/>
        <v>87.881917104301166</v>
      </c>
      <c r="I51" s="15">
        <f t="shared" si="236"/>
        <v>109.85239638037649</v>
      </c>
      <c r="J51" s="15">
        <f t="shared" si="236"/>
        <v>109.85239638037649</v>
      </c>
      <c r="K51" s="15">
        <f t="shared" si="236"/>
        <v>109.85239638037646</v>
      </c>
      <c r="L51" s="15">
        <f t="shared" si="236"/>
        <v>109.85239638037642</v>
      </c>
      <c r="M51" s="15">
        <f t="shared" si="236"/>
        <v>131.82287565645174</v>
      </c>
      <c r="N51" s="15">
        <f t="shared" si="236"/>
        <v>131.82287565645177</v>
      </c>
      <c r="O51" s="15">
        <f t="shared" si="236"/>
        <v>131.82287565645177</v>
      </c>
      <c r="P51" s="15">
        <f t="shared" si="236"/>
        <v>131.82287565645169</v>
      </c>
      <c r="Q51" s="15">
        <f t="shared" si="236"/>
        <v>153.79335493252705</v>
      </c>
      <c r="R51" s="15">
        <f t="shared" si="236"/>
        <v>153.79335493252705</v>
      </c>
      <c r="S51" s="15">
        <f t="shared" si="236"/>
        <v>153.79335493252705</v>
      </c>
      <c r="T51" s="15">
        <f t="shared" si="236"/>
        <v>153.79335493252702</v>
      </c>
      <c r="U51" s="15">
        <f t="shared" si="236"/>
        <v>96.789230821763837</v>
      </c>
      <c r="V51" s="15">
        <f t="shared" si="236"/>
        <v>96.789230821763837</v>
      </c>
      <c r="W51" s="15">
        <f t="shared" si="236"/>
        <v>96.789230821763866</v>
      </c>
      <c r="X51" s="15">
        <f t="shared" si="236"/>
        <v>96.789230821763837</v>
      </c>
      <c r="Y51" s="15">
        <f t="shared" ref="Y51:AB51" si="237">0.5*Y11*Y28^2*(Y40+Y42*Y39^2)</f>
        <v>120.98653852720481</v>
      </c>
      <c r="Z51" s="15">
        <f t="shared" si="237"/>
        <v>120.98653852720477</v>
      </c>
      <c r="AA51" s="15">
        <f t="shared" si="237"/>
        <v>120.98653852720483</v>
      </c>
      <c r="AB51" s="15">
        <f t="shared" si="237"/>
        <v>120.98653852720479</v>
      </c>
      <c r="AC51" s="15">
        <f t="shared" ref="AC51:AF51" si="238">0.5*AC11*AC28^2*(AC40+AC42*AC39^2)</f>
        <v>145.18384623264575</v>
      </c>
      <c r="AD51" s="15">
        <f t="shared" si="238"/>
        <v>145.18384623264578</v>
      </c>
      <c r="AE51" s="15">
        <f t="shared" si="238"/>
        <v>145.18384623264575</v>
      </c>
      <c r="AF51" s="15">
        <f t="shared" si="238"/>
        <v>145.18384623264578</v>
      </c>
      <c r="AG51" s="15">
        <f t="shared" ref="AG51:AJ51" si="239">0.5*AG11*AG28^2*(AG40+AG42*AG39^2)</f>
        <v>169.38115393808675</v>
      </c>
      <c r="AH51" s="15">
        <f t="shared" si="239"/>
        <v>169.3811539380867</v>
      </c>
      <c r="AI51" s="15">
        <f t="shared" si="239"/>
        <v>169.38115393808678</v>
      </c>
      <c r="AJ51" s="15">
        <f t="shared" si="239"/>
        <v>169.38115393808675</v>
      </c>
      <c r="AK51" s="10"/>
    </row>
    <row r="52" spans="1:37" x14ac:dyDescent="0.25">
      <c r="A52" s="88"/>
      <c r="B52" s="11" t="s">
        <v>286</v>
      </c>
      <c r="C52" s="11" t="s">
        <v>134</v>
      </c>
      <c r="D52" s="11"/>
      <c r="E52" s="17">
        <f t="shared" ref="E52:X52" si="240">E48/E16-E12</f>
        <v>0.34108376318424444</v>
      </c>
      <c r="F52" s="17">
        <f t="shared" si="240"/>
        <v>0.33684309957325759</v>
      </c>
      <c r="G52" s="17">
        <f t="shared" si="240"/>
        <v>0.30589404085396787</v>
      </c>
      <c r="H52" s="17">
        <f t="shared" si="240"/>
        <v>0.27712771621180965</v>
      </c>
      <c r="I52" s="17">
        <f t="shared" si="240"/>
        <v>0.25837538776322932</v>
      </c>
      <c r="J52" s="17">
        <f t="shared" si="240"/>
        <v>0.25484109072166639</v>
      </c>
      <c r="K52" s="17">
        <f t="shared" si="240"/>
        <v>0.23070665678413735</v>
      </c>
      <c r="L52" s="17">
        <f t="shared" si="240"/>
        <v>0.20833274181644867</v>
      </c>
      <c r="M52" s="17">
        <f t="shared" si="240"/>
        <v>0.2044006140289818</v>
      </c>
      <c r="N52" s="17">
        <f t="shared" si="240"/>
        <v>0.20148244113188041</v>
      </c>
      <c r="O52" s="17">
        <f t="shared" si="240"/>
        <v>0.18194318500890666</v>
      </c>
      <c r="P52" s="17">
        <f t="shared" si="240"/>
        <v>0.16388213049427722</v>
      </c>
      <c r="Q52" s="17">
        <f t="shared" si="240"/>
        <v>0.16684680584579423</v>
      </c>
      <c r="R52" s="17">
        <f t="shared" si="240"/>
        <v>0.16448462036262915</v>
      </c>
      <c r="S52" s="17">
        <f t="shared" si="240"/>
        <v>0.14826381337259376</v>
      </c>
      <c r="T52" s="17">
        <f t="shared" si="240"/>
        <v>0.13331906123973439</v>
      </c>
      <c r="U52" s="17">
        <f t="shared" si="240"/>
        <v>0.34852616455073615</v>
      </c>
      <c r="V52" s="17">
        <f t="shared" si="240"/>
        <v>0.34448844913888083</v>
      </c>
      <c r="W52" s="17">
        <f t="shared" si="240"/>
        <v>0.31314157294880257</v>
      </c>
      <c r="X52" s="17">
        <f t="shared" si="240"/>
        <v>0.28396652172390296</v>
      </c>
      <c r="Y52" s="17">
        <f t="shared" ref="Y52:AB52" si="241">Y48/Y16-Y12</f>
        <v>0.26492881482622543</v>
      </c>
      <c r="Z52" s="17">
        <f t="shared" si="241"/>
        <v>0.26147562619793518</v>
      </c>
      <c r="AA52" s="17">
        <f t="shared" si="241"/>
        <v>0.23689293893026189</v>
      </c>
      <c r="AB52" s="17">
        <f t="shared" si="241"/>
        <v>0.21406079038538409</v>
      </c>
      <c r="AC52" s="17">
        <f t="shared" ref="AC52:AF52" si="242">AC48/AC16-AC12</f>
        <v>0.21003555575249938</v>
      </c>
      <c r="AD52" s="17">
        <f t="shared" si="242"/>
        <v>0.20708530534546357</v>
      </c>
      <c r="AE52" s="17">
        <f t="shared" si="242"/>
        <v>0.18705804114707852</v>
      </c>
      <c r="AF52" s="17">
        <f t="shared" si="242"/>
        <v>0.16849962527325046</v>
      </c>
      <c r="AG52" s="17">
        <f t="shared" ref="AG52:AJ52" si="243">AG48/AG16-AG12</f>
        <v>0.17156438299383997</v>
      </c>
      <c r="AH52" s="17">
        <f t="shared" si="243"/>
        <v>0.16906411228676232</v>
      </c>
      <c r="AI52" s="17">
        <f t="shared" si="243"/>
        <v>0.1523224408531102</v>
      </c>
      <c r="AJ52" s="17">
        <f t="shared" si="243"/>
        <v>0.13684791272110625</v>
      </c>
      <c r="AK52" s="10" t="s">
        <v>327</v>
      </c>
    </row>
    <row r="53" spans="1:37" x14ac:dyDescent="0.25">
      <c r="A53" s="88"/>
      <c r="B53" s="11" t="s">
        <v>288</v>
      </c>
      <c r="C53" s="11" t="s">
        <v>107</v>
      </c>
      <c r="D53" s="11"/>
      <c r="E53" s="18">
        <f t="shared" ref="E53:X53" si="244">E11/(2*E16/E30)*(-E40-E42*E39^2+E12*E39)</f>
        <v>-1.6340462138297507E-4</v>
      </c>
      <c r="F53" s="18">
        <f t="shared" si="244"/>
        <v>-1.5406757629663815E-4</v>
      </c>
      <c r="G53" s="18">
        <f t="shared" si="244"/>
        <v>-1.4514428241450808E-4</v>
      </c>
      <c r="H53" s="18">
        <f t="shared" si="244"/>
        <v>-1.3662186008016203E-4</v>
      </c>
      <c r="I53" s="18">
        <f t="shared" si="244"/>
        <v>-1.3072369710638007E-4</v>
      </c>
      <c r="J53" s="18">
        <f t="shared" si="244"/>
        <v>-1.2325406103731051E-4</v>
      </c>
      <c r="K53" s="18">
        <f t="shared" si="244"/>
        <v>-1.1611542593160648E-4</v>
      </c>
      <c r="L53" s="18">
        <f t="shared" si="244"/>
        <v>-1.0929748806412962E-4</v>
      </c>
      <c r="M53" s="18">
        <f t="shared" si="244"/>
        <v>-1.0893641425531671E-4</v>
      </c>
      <c r="N53" s="18">
        <f t="shared" si="244"/>
        <v>-1.0271171753109211E-4</v>
      </c>
      <c r="O53" s="18">
        <f t="shared" si="244"/>
        <v>-9.6762854943005394E-5</v>
      </c>
      <c r="P53" s="18">
        <f t="shared" si="244"/>
        <v>-9.1081240053441349E-5</v>
      </c>
      <c r="Q53" s="18">
        <f t="shared" si="244"/>
        <v>-9.3374069361700036E-5</v>
      </c>
      <c r="R53" s="18">
        <f t="shared" si="244"/>
        <v>-8.8038615026650362E-5</v>
      </c>
      <c r="S53" s="18">
        <f t="shared" si="244"/>
        <v>-8.2939589951147477E-5</v>
      </c>
      <c r="T53" s="18">
        <f t="shared" si="244"/>
        <v>-7.8069634331521149E-5</v>
      </c>
      <c r="U53" s="18">
        <f t="shared" si="244"/>
        <v>-2.1556927647138385E-4</v>
      </c>
      <c r="V53" s="18">
        <f t="shared" si="244"/>
        <v>-2.0325150946695535E-4</v>
      </c>
      <c r="W53" s="18">
        <f t="shared" si="244"/>
        <v>-1.914795779901586E-4</v>
      </c>
      <c r="X53" s="18">
        <f t="shared" si="244"/>
        <v>-1.8023649073320325E-4</v>
      </c>
      <c r="Y53" s="18">
        <f t="shared" ref="Y53:AB53" si="245">Y11/(2*Y16/Y30)*(-Y40-Y42*Y39^2+Y12*Y39)</f>
        <v>-1.7245542117710709E-4</v>
      </c>
      <c r="Z53" s="18">
        <f t="shared" si="245"/>
        <v>-1.6260120757356428E-4</v>
      </c>
      <c r="AA53" s="18">
        <f t="shared" si="245"/>
        <v>-1.5318366239212689E-4</v>
      </c>
      <c r="AB53" s="18">
        <f t="shared" si="245"/>
        <v>-1.4418919258656258E-4</v>
      </c>
      <c r="AC53" s="18">
        <f t="shared" ref="AC53:AF53" si="246">AC11/(2*AC16/AC30)*(-AC40-AC42*AC39^2+AC12*AC39)</f>
        <v>-1.4371285098092255E-4</v>
      </c>
      <c r="AD53" s="18">
        <f t="shared" si="246"/>
        <v>-1.3550100631130359E-4</v>
      </c>
      <c r="AE53" s="18">
        <f t="shared" si="246"/>
        <v>-1.2765305199343907E-4</v>
      </c>
      <c r="AF53" s="18">
        <f t="shared" si="246"/>
        <v>-1.2015766048880216E-4</v>
      </c>
      <c r="AG53" s="18">
        <f t="shared" ref="AG53:AJ53" si="247">AG11/(2*AG16/AG30)*(-AG40-AG42*AG39^2+AG12*AG39)</f>
        <v>-1.2318244369793362E-4</v>
      </c>
      <c r="AH53" s="18">
        <f t="shared" si="247"/>
        <v>-1.1614371969540306E-4</v>
      </c>
      <c r="AI53" s="18">
        <f t="shared" si="247"/>
        <v>-1.0941690170866204E-4</v>
      </c>
      <c r="AJ53" s="18">
        <f t="shared" si="247"/>
        <v>-1.0299228041897326E-4</v>
      </c>
      <c r="AK53" s="10" t="s">
        <v>328</v>
      </c>
    </row>
    <row r="54" spans="1:37" x14ac:dyDescent="0.25">
      <c r="A54" s="88"/>
      <c r="B54" s="11" t="s">
        <v>289</v>
      </c>
      <c r="C54" s="11" t="s">
        <v>134</v>
      </c>
      <c r="D54" s="11"/>
      <c r="E54" s="17">
        <f t="shared" ref="E54:X54" si="248">-E49/E19-E13</f>
        <v>-0.38</v>
      </c>
      <c r="F54" s="17">
        <f t="shared" si="248"/>
        <v>-0.38</v>
      </c>
      <c r="G54" s="17">
        <f t="shared" si="248"/>
        <v>-0.38</v>
      </c>
      <c r="H54" s="17">
        <f t="shared" si="248"/>
        <v>-0.38</v>
      </c>
      <c r="I54" s="17">
        <f t="shared" si="248"/>
        <v>-0.38</v>
      </c>
      <c r="J54" s="17">
        <f t="shared" si="248"/>
        <v>-0.38</v>
      </c>
      <c r="K54" s="17">
        <f t="shared" si="248"/>
        <v>-0.38</v>
      </c>
      <c r="L54" s="17">
        <f t="shared" si="248"/>
        <v>-0.38</v>
      </c>
      <c r="M54" s="17">
        <f t="shared" si="248"/>
        <v>-0.38</v>
      </c>
      <c r="N54" s="17">
        <f t="shared" si="248"/>
        <v>-0.38</v>
      </c>
      <c r="O54" s="17">
        <f t="shared" si="248"/>
        <v>-0.38</v>
      </c>
      <c r="P54" s="17">
        <f t="shared" si="248"/>
        <v>-0.38</v>
      </c>
      <c r="Q54" s="17">
        <f t="shared" si="248"/>
        <v>-0.38</v>
      </c>
      <c r="R54" s="17">
        <f t="shared" si="248"/>
        <v>-0.38</v>
      </c>
      <c r="S54" s="17">
        <f t="shared" si="248"/>
        <v>-0.38</v>
      </c>
      <c r="T54" s="17">
        <f t="shared" si="248"/>
        <v>-0.38</v>
      </c>
      <c r="U54" s="17">
        <f t="shared" si="248"/>
        <v>-0.38</v>
      </c>
      <c r="V54" s="17">
        <f t="shared" si="248"/>
        <v>-0.38</v>
      </c>
      <c r="W54" s="17">
        <f t="shared" si="248"/>
        <v>-0.38</v>
      </c>
      <c r="X54" s="17">
        <f t="shared" si="248"/>
        <v>-0.38</v>
      </c>
      <c r="Y54" s="17">
        <f t="shared" ref="Y54:AB54" si="249">-Y49/Y19-Y13</f>
        <v>-0.38</v>
      </c>
      <c r="Z54" s="17">
        <f t="shared" si="249"/>
        <v>-0.38</v>
      </c>
      <c r="AA54" s="17">
        <f t="shared" si="249"/>
        <v>-0.38</v>
      </c>
      <c r="AB54" s="17">
        <f t="shared" si="249"/>
        <v>-0.38</v>
      </c>
      <c r="AC54" s="17">
        <f t="shared" ref="AC54:AF54" si="250">-AC49/AC19-AC13</f>
        <v>-0.38</v>
      </c>
      <c r="AD54" s="17">
        <f t="shared" si="250"/>
        <v>-0.38</v>
      </c>
      <c r="AE54" s="17">
        <f t="shared" si="250"/>
        <v>-0.38</v>
      </c>
      <c r="AF54" s="17">
        <f t="shared" si="250"/>
        <v>-0.38</v>
      </c>
      <c r="AG54" s="17">
        <f t="shared" ref="AG54:AJ54" si="251">-AG49/AG19-AG13</f>
        <v>-0.38</v>
      </c>
      <c r="AH54" s="17">
        <f t="shared" si="251"/>
        <v>-0.38</v>
      </c>
      <c r="AI54" s="17">
        <f t="shared" si="251"/>
        <v>-0.38</v>
      </c>
      <c r="AJ54" s="17">
        <f t="shared" si="251"/>
        <v>-0.38</v>
      </c>
      <c r="AK54" s="10" t="s">
        <v>295</v>
      </c>
    </row>
    <row r="55" spans="1:37" x14ac:dyDescent="0.25">
      <c r="A55" s="88"/>
      <c r="B55" s="11" t="s">
        <v>287</v>
      </c>
      <c r="C55" s="11" t="s">
        <v>107</v>
      </c>
      <c r="D55" s="11"/>
      <c r="E55" s="18">
        <f t="shared" ref="E55:X55" si="252">E11/(2*E19/E30)*(-E40-E42*E39^2+E13*E39)</f>
        <v>5.630119902777941E-4</v>
      </c>
      <c r="F55" s="18">
        <f t="shared" si="252"/>
        <v>5.3084112330426209E-4</v>
      </c>
      <c r="G55" s="18">
        <f t="shared" si="252"/>
        <v>5.0009583956692508E-4</v>
      </c>
      <c r="H55" s="18">
        <f t="shared" si="252"/>
        <v>4.7073176210180614E-4</v>
      </c>
      <c r="I55" s="18">
        <f t="shared" si="252"/>
        <v>4.5040959222223531E-4</v>
      </c>
      <c r="J55" s="18">
        <f t="shared" si="252"/>
        <v>4.2467289864340965E-4</v>
      </c>
      <c r="K55" s="18">
        <f t="shared" si="252"/>
        <v>4.0007667165354005E-4</v>
      </c>
      <c r="L55" s="18">
        <f t="shared" si="252"/>
        <v>3.7658540968144494E-4</v>
      </c>
      <c r="M55" s="18">
        <f t="shared" si="252"/>
        <v>3.753413268518627E-4</v>
      </c>
      <c r="N55" s="18">
        <f t="shared" si="252"/>
        <v>3.5389408220284143E-4</v>
      </c>
      <c r="O55" s="18">
        <f t="shared" si="252"/>
        <v>3.3339722637795E-4</v>
      </c>
      <c r="P55" s="18">
        <f t="shared" si="252"/>
        <v>3.1382117473453743E-4</v>
      </c>
      <c r="Q55" s="18">
        <f t="shared" si="252"/>
        <v>3.217211373015966E-4</v>
      </c>
      <c r="R55" s="18">
        <f t="shared" si="252"/>
        <v>3.0333778474529261E-4</v>
      </c>
      <c r="S55" s="18">
        <f t="shared" si="252"/>
        <v>2.857690511811E-4</v>
      </c>
      <c r="T55" s="18">
        <f t="shared" si="252"/>
        <v>2.6898957834388919E-4</v>
      </c>
      <c r="U55" s="18">
        <f t="shared" si="252"/>
        <v>6.3018720710508313E-4</v>
      </c>
      <c r="V55" s="18">
        <f t="shared" si="252"/>
        <v>5.9417790506837852E-4</v>
      </c>
      <c r="W55" s="18">
        <f t="shared" si="252"/>
        <v>5.5976427831679575E-4</v>
      </c>
      <c r="X55" s="18">
        <f t="shared" si="252"/>
        <v>5.268966550929455E-4</v>
      </c>
      <c r="Y55" s="18">
        <f t="shared" ref="Y55:AB55" si="253">Y11/(2*Y19/Y30)*(-Y40-Y42*Y39^2+Y13*Y39)</f>
        <v>5.0414976568406657E-4</v>
      </c>
      <c r="Z55" s="18">
        <f t="shared" si="253"/>
        <v>4.7534232405470279E-4</v>
      </c>
      <c r="AA55" s="18">
        <f t="shared" si="253"/>
        <v>4.4781142265343661E-4</v>
      </c>
      <c r="AB55" s="18">
        <f t="shared" si="253"/>
        <v>4.2151732407435638E-4</v>
      </c>
      <c r="AC55" s="18">
        <f t="shared" ref="AC55:AF55" si="254">AC11/(2*AC19/AC30)*(-AC40-AC42*AC39^2+AC13*AC39)</f>
        <v>4.201248047367221E-4</v>
      </c>
      <c r="AD55" s="18">
        <f t="shared" si="254"/>
        <v>3.9611860337891909E-4</v>
      </c>
      <c r="AE55" s="18">
        <f t="shared" si="254"/>
        <v>3.731761855445305E-4</v>
      </c>
      <c r="AF55" s="18">
        <f t="shared" si="254"/>
        <v>3.5126443672863031E-4</v>
      </c>
      <c r="AG55" s="18">
        <f t="shared" ref="AG55:AJ55" si="255">AG11/(2*AG19/AG30)*(-AG40-AG42*AG39^2+AG13*AG39)</f>
        <v>3.6010697548861893E-4</v>
      </c>
      <c r="AH55" s="18">
        <f t="shared" si="255"/>
        <v>3.3953023146764485E-4</v>
      </c>
      <c r="AI55" s="18">
        <f t="shared" si="255"/>
        <v>3.1986530189531182E-4</v>
      </c>
      <c r="AJ55" s="18">
        <f t="shared" si="255"/>
        <v>3.0108380291025451E-4</v>
      </c>
      <c r="AK55" s="10" t="s">
        <v>329</v>
      </c>
    </row>
    <row r="56" spans="1:37" x14ac:dyDescent="0.25">
      <c r="A56" s="88"/>
      <c r="B56" s="73" t="s">
        <v>278</v>
      </c>
      <c r="C56" s="11" t="s">
        <v>300</v>
      </c>
      <c r="D56" s="11" t="s">
        <v>19</v>
      </c>
      <c r="E56" s="14">
        <f>0</f>
        <v>0</v>
      </c>
      <c r="F56" s="14">
        <f>0</f>
        <v>0</v>
      </c>
      <c r="G56" s="14">
        <f>0</f>
        <v>0</v>
      </c>
      <c r="H56" s="14">
        <f>0</f>
        <v>0</v>
      </c>
      <c r="I56" s="14">
        <f>0</f>
        <v>0</v>
      </c>
      <c r="J56" s="14">
        <f>0</f>
        <v>0</v>
      </c>
      <c r="K56" s="14">
        <f>0</f>
        <v>0</v>
      </c>
      <c r="L56" s="14">
        <f>0</f>
        <v>0</v>
      </c>
      <c r="M56" s="14">
        <f>0</f>
        <v>0</v>
      </c>
      <c r="N56" s="14">
        <f>0</f>
        <v>0</v>
      </c>
      <c r="O56" s="14">
        <f>0</f>
        <v>0</v>
      </c>
      <c r="P56" s="14">
        <f>0</f>
        <v>0</v>
      </c>
      <c r="Q56" s="14">
        <f>0</f>
        <v>0</v>
      </c>
      <c r="R56" s="14">
        <f>0</f>
        <v>0</v>
      </c>
      <c r="S56" s="14">
        <f>0</f>
        <v>0</v>
      </c>
      <c r="T56" s="14">
        <f>0</f>
        <v>0</v>
      </c>
      <c r="U56" s="14">
        <f>0</f>
        <v>0</v>
      </c>
      <c r="V56" s="14">
        <f>0</f>
        <v>0</v>
      </c>
      <c r="W56" s="14">
        <f>0</f>
        <v>0</v>
      </c>
      <c r="X56" s="14">
        <f>0</f>
        <v>0</v>
      </c>
      <c r="Y56" s="14">
        <f>0</f>
        <v>0</v>
      </c>
      <c r="Z56" s="14">
        <f>0</f>
        <v>0</v>
      </c>
      <c r="AA56" s="14">
        <f>0</f>
        <v>0</v>
      </c>
      <c r="AB56" s="14">
        <f>0</f>
        <v>0</v>
      </c>
      <c r="AC56" s="14">
        <f>0</f>
        <v>0</v>
      </c>
      <c r="AD56" s="14">
        <f>0</f>
        <v>0</v>
      </c>
      <c r="AE56" s="14">
        <f>0</f>
        <v>0</v>
      </c>
      <c r="AF56" s="14">
        <f>0</f>
        <v>0</v>
      </c>
      <c r="AG56" s="14">
        <f>0</f>
        <v>0</v>
      </c>
      <c r="AH56" s="14">
        <f>0</f>
        <v>0</v>
      </c>
      <c r="AI56" s="14">
        <f>0</f>
        <v>0</v>
      </c>
      <c r="AJ56" s="14">
        <f>0</f>
        <v>0</v>
      </c>
      <c r="AK56" s="10"/>
    </row>
    <row r="57" spans="1:37" x14ac:dyDescent="0.25">
      <c r="A57" s="88"/>
      <c r="B57" s="73" t="s">
        <v>279</v>
      </c>
      <c r="C57" s="11" t="s">
        <v>301</v>
      </c>
      <c r="D57" s="11" t="s">
        <v>19</v>
      </c>
      <c r="E57" s="14">
        <f t="shared" ref="E57:X57" si="256">E26</f>
        <v>24.317223037921085</v>
      </c>
      <c r="F57" s="14">
        <f t="shared" si="256"/>
        <v>25.043240278934313</v>
      </c>
      <c r="G57" s="14">
        <f t="shared" si="256"/>
        <v>25.801572745672651</v>
      </c>
      <c r="H57" s="14">
        <f t="shared" si="256"/>
        <v>26.594146003543813</v>
      </c>
      <c r="I57" s="14">
        <f t="shared" si="256"/>
        <v>27.187481868407747</v>
      </c>
      <c r="J57" s="14">
        <f t="shared" si="256"/>
        <v>27.999193820278961</v>
      </c>
      <c r="K57" s="14">
        <f t="shared" si="256"/>
        <v>28.84703529286497</v>
      </c>
      <c r="L57" s="14">
        <f t="shared" si="256"/>
        <v>29.733159133739161</v>
      </c>
      <c r="M57" s="14">
        <f t="shared" si="256"/>
        <v>29.782394202179244</v>
      </c>
      <c r="N57" s="14">
        <f t="shared" si="256"/>
        <v>30.671580094652068</v>
      </c>
      <c r="O57" s="14">
        <f t="shared" si="256"/>
        <v>31.600343894099581</v>
      </c>
      <c r="P57" s="14">
        <f t="shared" si="256"/>
        <v>32.571043926879405</v>
      </c>
      <c r="Q57" s="14">
        <f t="shared" si="256"/>
        <v>32.168662367014889</v>
      </c>
      <c r="R57" s="14">
        <f t="shared" si="256"/>
        <v>33.129092900648011</v>
      </c>
      <c r="S57" s="14">
        <f t="shared" si="256"/>
        <v>34.132272459695912</v>
      </c>
      <c r="T57" s="14">
        <f t="shared" si="256"/>
        <v>35.180748327759595</v>
      </c>
      <c r="U57" s="14">
        <f t="shared" si="256"/>
        <v>22.536381912030773</v>
      </c>
      <c r="V57" s="14">
        <f t="shared" si="256"/>
        <v>23.209230197078696</v>
      </c>
      <c r="W57" s="14">
        <f t="shared" si="256"/>
        <v>23.912027143097443</v>
      </c>
      <c r="X57" s="14">
        <f t="shared" si="256"/>
        <v>24.646557299143332</v>
      </c>
      <c r="Y57" s="14">
        <f t="shared" ref="Y57:AB57" si="257">Y26</f>
        <v>25.196440961098748</v>
      </c>
      <c r="Z57" s="14">
        <f t="shared" si="257"/>
        <v>25.948708213054399</v>
      </c>
      <c r="AA57" s="14">
        <f t="shared" si="257"/>
        <v>26.734459085892986</v>
      </c>
      <c r="AB57" s="14">
        <f t="shared" si="257"/>
        <v>27.555688766114056</v>
      </c>
      <c r="AC57" s="14">
        <f t="shared" ref="AC57:AF57" si="258">AC26</f>
        <v>27.601318166481864</v>
      </c>
      <c r="AD57" s="14">
        <f t="shared" si="258"/>
        <v>28.425385652818932</v>
      </c>
      <c r="AE57" s="14">
        <f t="shared" si="258"/>
        <v>29.286132608085058</v>
      </c>
      <c r="AF57" s="14">
        <f t="shared" si="258"/>
        <v>30.185744649584734</v>
      </c>
      <c r="AG57" s="14">
        <f t="shared" ref="AG57:AJ57" si="259">AG26</f>
        <v>29.812830995203875</v>
      </c>
      <c r="AH57" s="14">
        <f t="shared" si="259"/>
        <v>30.702925611360421</v>
      </c>
      <c r="AI57" s="14">
        <f t="shared" si="259"/>
        <v>31.632638582031067</v>
      </c>
      <c r="AJ57" s="14">
        <f t="shared" si="259"/>
        <v>32.604330643718519</v>
      </c>
      <c r="AK57" s="10"/>
    </row>
    <row r="58" spans="1:37" x14ac:dyDescent="0.25">
      <c r="A58" s="88"/>
      <c r="B58" s="73" t="s">
        <v>280</v>
      </c>
      <c r="C58" s="11" t="s">
        <v>302</v>
      </c>
      <c r="D58" s="11" t="s">
        <v>19</v>
      </c>
      <c r="E58" s="14">
        <f t="shared" ref="E58:X58" si="260">E28</f>
        <v>24.317223037921085</v>
      </c>
      <c r="F58" s="14">
        <f t="shared" si="260"/>
        <v>25.043240278934313</v>
      </c>
      <c r="G58" s="14">
        <f t="shared" si="260"/>
        <v>25.801572745672651</v>
      </c>
      <c r="H58" s="14">
        <f t="shared" si="260"/>
        <v>26.594146003543813</v>
      </c>
      <c r="I58" s="14">
        <f t="shared" si="260"/>
        <v>27.187481868407747</v>
      </c>
      <c r="J58" s="14">
        <f t="shared" si="260"/>
        <v>27.999193820278961</v>
      </c>
      <c r="K58" s="14">
        <f t="shared" si="260"/>
        <v>28.84703529286497</v>
      </c>
      <c r="L58" s="14">
        <f t="shared" si="260"/>
        <v>29.733159133739161</v>
      </c>
      <c r="M58" s="14">
        <f t="shared" si="260"/>
        <v>29.782394202179244</v>
      </c>
      <c r="N58" s="14">
        <f t="shared" si="260"/>
        <v>30.671580094652068</v>
      </c>
      <c r="O58" s="14">
        <f t="shared" si="260"/>
        <v>31.600343894099581</v>
      </c>
      <c r="P58" s="14">
        <f t="shared" si="260"/>
        <v>32.571043926879405</v>
      </c>
      <c r="Q58" s="14">
        <f t="shared" si="260"/>
        <v>32.168662367014889</v>
      </c>
      <c r="R58" s="14">
        <f t="shared" si="260"/>
        <v>33.129092900648011</v>
      </c>
      <c r="S58" s="14">
        <f t="shared" si="260"/>
        <v>34.132272459695912</v>
      </c>
      <c r="T58" s="14">
        <f t="shared" si="260"/>
        <v>35.180748327759595</v>
      </c>
      <c r="U58" s="14">
        <f t="shared" si="260"/>
        <v>22.536381912030773</v>
      </c>
      <c r="V58" s="14">
        <f t="shared" si="260"/>
        <v>23.209230197078696</v>
      </c>
      <c r="W58" s="14">
        <f t="shared" si="260"/>
        <v>23.912027143097443</v>
      </c>
      <c r="X58" s="14">
        <f t="shared" si="260"/>
        <v>24.646557299143332</v>
      </c>
      <c r="Y58" s="14">
        <f t="shared" ref="Y58:AB58" si="261">Y28</f>
        <v>25.196440961098748</v>
      </c>
      <c r="Z58" s="14">
        <f t="shared" si="261"/>
        <v>25.948708213054399</v>
      </c>
      <c r="AA58" s="14">
        <f t="shared" si="261"/>
        <v>26.734459085892986</v>
      </c>
      <c r="AB58" s="14">
        <f t="shared" si="261"/>
        <v>27.555688766114056</v>
      </c>
      <c r="AC58" s="14">
        <f t="shared" ref="AC58:AF58" si="262">AC28</f>
        <v>27.601318166481864</v>
      </c>
      <c r="AD58" s="14">
        <f t="shared" si="262"/>
        <v>28.425385652818932</v>
      </c>
      <c r="AE58" s="14">
        <f t="shared" si="262"/>
        <v>29.286132608085058</v>
      </c>
      <c r="AF58" s="14">
        <f t="shared" si="262"/>
        <v>30.185744649584734</v>
      </c>
      <c r="AG58" s="14">
        <f t="shared" ref="AG58:AJ58" si="263">AG28</f>
        <v>29.812830995203875</v>
      </c>
      <c r="AH58" s="14">
        <f t="shared" si="263"/>
        <v>30.702925611360421</v>
      </c>
      <c r="AI58" s="14">
        <f t="shared" si="263"/>
        <v>31.632638582031067</v>
      </c>
      <c r="AJ58" s="14">
        <f t="shared" si="263"/>
        <v>32.604330643718519</v>
      </c>
      <c r="AK58" s="10"/>
    </row>
    <row r="59" spans="1:37" x14ac:dyDescent="0.25">
      <c r="A59" s="88"/>
      <c r="B59" s="73" t="s">
        <v>281</v>
      </c>
      <c r="C59" s="11" t="s">
        <v>303</v>
      </c>
      <c r="D59" s="11" t="s">
        <v>19</v>
      </c>
      <c r="E59" s="14">
        <f>0</f>
        <v>0</v>
      </c>
      <c r="F59" s="14">
        <f>0</f>
        <v>0</v>
      </c>
      <c r="G59" s="14">
        <f>0</f>
        <v>0</v>
      </c>
      <c r="H59" s="14">
        <f>0</f>
        <v>0</v>
      </c>
      <c r="I59" s="14">
        <f>0</f>
        <v>0</v>
      </c>
      <c r="J59" s="14">
        <f>0</f>
        <v>0</v>
      </c>
      <c r="K59" s="14">
        <f>0</f>
        <v>0</v>
      </c>
      <c r="L59" s="14">
        <f>0</f>
        <v>0</v>
      </c>
      <c r="M59" s="14">
        <f>0</f>
        <v>0</v>
      </c>
      <c r="N59" s="14">
        <f>0</f>
        <v>0</v>
      </c>
      <c r="O59" s="14">
        <f>0</f>
        <v>0</v>
      </c>
      <c r="P59" s="14">
        <f>0</f>
        <v>0</v>
      </c>
      <c r="Q59" s="14">
        <f>0</f>
        <v>0</v>
      </c>
      <c r="R59" s="14">
        <f>0</f>
        <v>0</v>
      </c>
      <c r="S59" s="14">
        <f>0</f>
        <v>0</v>
      </c>
      <c r="T59" s="14">
        <f>0</f>
        <v>0</v>
      </c>
      <c r="U59" s="14">
        <f>0</f>
        <v>0</v>
      </c>
      <c r="V59" s="14">
        <f>0</f>
        <v>0</v>
      </c>
      <c r="W59" s="14">
        <f>0</f>
        <v>0</v>
      </c>
      <c r="X59" s="14">
        <f>0</f>
        <v>0</v>
      </c>
      <c r="Y59" s="14">
        <f>0</f>
        <v>0</v>
      </c>
      <c r="Z59" s="14">
        <f>0</f>
        <v>0</v>
      </c>
      <c r="AA59" s="14">
        <f>0</f>
        <v>0</v>
      </c>
      <c r="AB59" s="14">
        <f>0</f>
        <v>0</v>
      </c>
      <c r="AC59" s="14">
        <f>0</f>
        <v>0</v>
      </c>
      <c r="AD59" s="14">
        <f>0</f>
        <v>0</v>
      </c>
      <c r="AE59" s="14">
        <f>0</f>
        <v>0</v>
      </c>
      <c r="AF59" s="14">
        <f>0</f>
        <v>0</v>
      </c>
      <c r="AG59" s="14">
        <f>0</f>
        <v>0</v>
      </c>
      <c r="AH59" s="14">
        <f>0</f>
        <v>0</v>
      </c>
      <c r="AI59" s="14">
        <f>0</f>
        <v>0</v>
      </c>
      <c r="AJ59" s="14">
        <f>0</f>
        <v>0</v>
      </c>
      <c r="AK59" s="10"/>
    </row>
    <row r="60" spans="1:37" x14ac:dyDescent="0.25">
      <c r="A60" s="88"/>
      <c r="B60" s="73" t="s">
        <v>282</v>
      </c>
      <c r="C60" s="11" t="s">
        <v>296</v>
      </c>
      <c r="D60" s="11" t="s">
        <v>109</v>
      </c>
      <c r="E60" s="18">
        <f t="shared" ref="E60:X60" si="264">E48-E12*E16</f>
        <v>6068.8646720421984</v>
      </c>
      <c r="F60" s="18">
        <f t="shared" si="264"/>
        <v>5993.4110258924375</v>
      </c>
      <c r="G60" s="18">
        <f t="shared" si="264"/>
        <v>5442.7379380239936</v>
      </c>
      <c r="H60" s="18">
        <f t="shared" si="264"/>
        <v>4930.9019897645976</v>
      </c>
      <c r="I60" s="18">
        <f t="shared" si="264"/>
        <v>5746.5549234985501</v>
      </c>
      <c r="J60" s="18">
        <f t="shared" si="264"/>
        <v>5667.9482410233923</v>
      </c>
      <c r="K60" s="18">
        <f t="shared" si="264"/>
        <v>5131.1716874584254</v>
      </c>
      <c r="L60" s="18">
        <f t="shared" si="264"/>
        <v>4633.5510265720604</v>
      </c>
      <c r="M60" s="18">
        <f t="shared" si="264"/>
        <v>5455.3153769774117</v>
      </c>
      <c r="N60" s="18">
        <f t="shared" si="264"/>
        <v>5377.4312984296894</v>
      </c>
      <c r="O60" s="18">
        <f t="shared" si="264"/>
        <v>4855.9416498357523</v>
      </c>
      <c r="P60" s="18">
        <f t="shared" si="264"/>
        <v>4373.9042113175146</v>
      </c>
      <c r="Q60" s="18">
        <f t="shared" si="264"/>
        <v>5195.2009774030366</v>
      </c>
      <c r="R60" s="18">
        <f t="shared" si="264"/>
        <v>5121.6483057247506</v>
      </c>
      <c r="S60" s="18">
        <f t="shared" si="264"/>
        <v>4616.5720958344418</v>
      </c>
      <c r="T60" s="18">
        <f t="shared" si="264"/>
        <v>4151.2291095297733</v>
      </c>
      <c r="U60" s="18">
        <f t="shared" si="264"/>
        <v>6201.286474553689</v>
      </c>
      <c r="V60" s="18">
        <f t="shared" si="264"/>
        <v>6129.4438626685478</v>
      </c>
      <c r="W60" s="18">
        <f t="shared" si="264"/>
        <v>5571.6924537101449</v>
      </c>
      <c r="X60" s="18">
        <f t="shared" si="264"/>
        <v>5052.5840797704222</v>
      </c>
      <c r="Y60" s="18">
        <f t="shared" ref="Y60:AB60" si="265">Y48-Y12*Y16</f>
        <v>5892.3104030768118</v>
      </c>
      <c r="Z60" s="18">
        <f t="shared" si="265"/>
        <v>5815.5076615871494</v>
      </c>
      <c r="AA60" s="18">
        <f t="shared" si="265"/>
        <v>5268.7614572608818</v>
      </c>
      <c r="AB60" s="18">
        <f t="shared" si="265"/>
        <v>4760.9491738600627</v>
      </c>
      <c r="AC60" s="18">
        <f t="shared" ref="AC60:AF60" si="266">AC48-AC12*AC16</f>
        <v>5605.7081944291167</v>
      </c>
      <c r="AD60" s="18">
        <f t="shared" si="266"/>
        <v>5526.9679886430704</v>
      </c>
      <c r="AE60" s="18">
        <f t="shared" si="266"/>
        <v>4992.4537316323358</v>
      </c>
      <c r="AF60" s="18">
        <f t="shared" si="266"/>
        <v>4497.1420518226023</v>
      </c>
      <c r="AG60" s="18">
        <f t="shared" ref="AG60:AJ60" si="267">AG48-AG12*AG16</f>
        <v>5342.0947778942091</v>
      </c>
      <c r="AH60" s="18">
        <f t="shared" si="267"/>
        <v>5264.2424704716304</v>
      </c>
      <c r="AI60" s="18">
        <f t="shared" si="267"/>
        <v>4742.947817244306</v>
      </c>
      <c r="AJ60" s="18">
        <f t="shared" si="267"/>
        <v>4261.1089035851501</v>
      </c>
      <c r="AK60" s="10" t="s">
        <v>316</v>
      </c>
    </row>
    <row r="61" spans="1:37" x14ac:dyDescent="0.25">
      <c r="A61" s="88"/>
      <c r="B61" s="73" t="s">
        <v>284</v>
      </c>
      <c r="C61" s="11" t="s">
        <v>297</v>
      </c>
      <c r="D61" s="11" t="s">
        <v>109</v>
      </c>
      <c r="E61" s="18">
        <f t="shared" ref="E61:X61" si="268">E48-E50</f>
        <v>6425.8049164639469</v>
      </c>
      <c r="F61" s="18">
        <f t="shared" si="268"/>
        <v>6350.351270314186</v>
      </c>
      <c r="G61" s="18">
        <f t="shared" si="268"/>
        <v>5799.6781824457421</v>
      </c>
      <c r="H61" s="18">
        <f t="shared" si="268"/>
        <v>5287.8422341863461</v>
      </c>
      <c r="I61" s="18">
        <f t="shared" ref="I61:L61" si="269">I48-I50</f>
        <v>6192.7302290257358</v>
      </c>
      <c r="J61" s="18">
        <f t="shared" si="269"/>
        <v>6114.1235465505788</v>
      </c>
      <c r="K61" s="18">
        <f t="shared" si="269"/>
        <v>5577.3469929856119</v>
      </c>
      <c r="L61" s="18">
        <f t="shared" si="269"/>
        <v>5079.7263320992461</v>
      </c>
      <c r="M61" s="18">
        <f t="shared" ref="M61:P61" si="270">M48-M50</f>
        <v>5990.7257436100354</v>
      </c>
      <c r="N61" s="18">
        <f t="shared" si="270"/>
        <v>5912.8416650623121</v>
      </c>
      <c r="O61" s="18">
        <f t="shared" si="270"/>
        <v>5391.352016468375</v>
      </c>
      <c r="P61" s="18">
        <f t="shared" si="270"/>
        <v>4909.3145779501383</v>
      </c>
      <c r="Q61" s="18">
        <f t="shared" ref="Q61:T61" si="271">Q48-Q50</f>
        <v>5819.8464051410974</v>
      </c>
      <c r="R61" s="18">
        <f t="shared" si="271"/>
        <v>5746.2937334628114</v>
      </c>
      <c r="S61" s="18">
        <f t="shared" si="271"/>
        <v>5241.2175235725026</v>
      </c>
      <c r="T61" s="18">
        <f t="shared" si="271"/>
        <v>4775.8745372678341</v>
      </c>
      <c r="U61" s="18">
        <f t="shared" si="268"/>
        <v>6549.3194052579747</v>
      </c>
      <c r="V61" s="18">
        <f t="shared" si="268"/>
        <v>6477.4767933728335</v>
      </c>
      <c r="W61" s="18">
        <f t="shared" si="268"/>
        <v>5919.7253844144307</v>
      </c>
      <c r="X61" s="18">
        <f t="shared" si="268"/>
        <v>5400.617010474708</v>
      </c>
      <c r="Y61" s="18">
        <f t="shared" ref="Y61:AB61" si="272">Y48-Y50</f>
        <v>6327.3515664571696</v>
      </c>
      <c r="Z61" s="18">
        <f t="shared" si="272"/>
        <v>6250.5488249675072</v>
      </c>
      <c r="AA61" s="18">
        <f t="shared" si="272"/>
        <v>5703.8026206412396</v>
      </c>
      <c r="AB61" s="18">
        <f t="shared" si="272"/>
        <v>5195.9903372404196</v>
      </c>
      <c r="AC61" s="18">
        <f t="shared" ref="AC61:AF61" si="273">AC48-AC50</f>
        <v>6127.7575904855457</v>
      </c>
      <c r="AD61" s="18">
        <f t="shared" si="273"/>
        <v>6049.0173846994994</v>
      </c>
      <c r="AE61" s="18">
        <f t="shared" si="273"/>
        <v>5514.5031276887648</v>
      </c>
      <c r="AF61" s="18">
        <f t="shared" si="273"/>
        <v>5019.1914478790313</v>
      </c>
      <c r="AG61" s="18">
        <f t="shared" ref="AG61:AJ61" si="274">AG48-AG50</f>
        <v>5951.1524066267102</v>
      </c>
      <c r="AH61" s="18">
        <f t="shared" si="274"/>
        <v>5873.3000992041316</v>
      </c>
      <c r="AI61" s="18">
        <f t="shared" si="274"/>
        <v>5352.0054459768071</v>
      </c>
      <c r="AJ61" s="18">
        <f t="shared" si="274"/>
        <v>4870.1665323176512</v>
      </c>
      <c r="AK61" s="10" t="s">
        <v>319</v>
      </c>
    </row>
    <row r="62" spans="1:37" x14ac:dyDescent="0.25">
      <c r="A62" s="88"/>
      <c r="B62" s="73" t="s">
        <v>285</v>
      </c>
      <c r="C62" s="11" t="s">
        <v>298</v>
      </c>
      <c r="D62" s="11" t="s">
        <v>109</v>
      </c>
      <c r="E62" s="18">
        <f t="shared" ref="E62:X62" si="275">E49+E13*E19</f>
        <v>6761.2968551959593</v>
      </c>
      <c r="F62" s="18">
        <f t="shared" si="275"/>
        <v>6761.2968551959593</v>
      </c>
      <c r="G62" s="18">
        <f t="shared" si="275"/>
        <v>6761.2968551959593</v>
      </c>
      <c r="H62" s="18">
        <f t="shared" si="275"/>
        <v>6761.2968551959593</v>
      </c>
      <c r="I62" s="18">
        <f t="shared" si="275"/>
        <v>8451.6210689949494</v>
      </c>
      <c r="J62" s="18">
        <f t="shared" si="275"/>
        <v>8451.6210689949494</v>
      </c>
      <c r="K62" s="18">
        <f t="shared" si="275"/>
        <v>8451.6210689949494</v>
      </c>
      <c r="L62" s="18">
        <f t="shared" si="275"/>
        <v>8451.6210689949494</v>
      </c>
      <c r="M62" s="18">
        <f t="shared" si="275"/>
        <v>10141.945282793939</v>
      </c>
      <c r="N62" s="18">
        <f t="shared" si="275"/>
        <v>10141.945282793939</v>
      </c>
      <c r="O62" s="18">
        <f t="shared" si="275"/>
        <v>10141.945282793939</v>
      </c>
      <c r="P62" s="18">
        <f t="shared" si="275"/>
        <v>10141.945282793939</v>
      </c>
      <c r="Q62" s="18">
        <f t="shared" si="275"/>
        <v>11832.269496592931</v>
      </c>
      <c r="R62" s="18">
        <f t="shared" si="275"/>
        <v>11832.269496592931</v>
      </c>
      <c r="S62" s="18">
        <f t="shared" si="275"/>
        <v>11832.269496592931</v>
      </c>
      <c r="T62" s="18">
        <f t="shared" si="275"/>
        <v>11832.269496592931</v>
      </c>
      <c r="U62" s="18">
        <f t="shared" si="275"/>
        <v>6761.2968551959593</v>
      </c>
      <c r="V62" s="18">
        <f t="shared" si="275"/>
        <v>6761.2968551959593</v>
      </c>
      <c r="W62" s="18">
        <f t="shared" si="275"/>
        <v>6761.2968551959593</v>
      </c>
      <c r="X62" s="18">
        <f t="shared" si="275"/>
        <v>6761.2968551959593</v>
      </c>
      <c r="Y62" s="18">
        <f t="shared" ref="Y62:AB62" si="276">Y49+Y13*Y19</f>
        <v>8451.6210689949494</v>
      </c>
      <c r="Z62" s="18">
        <f t="shared" si="276"/>
        <v>8451.6210689949494</v>
      </c>
      <c r="AA62" s="18">
        <f t="shared" si="276"/>
        <v>8451.6210689949494</v>
      </c>
      <c r="AB62" s="18">
        <f t="shared" si="276"/>
        <v>8451.6210689949494</v>
      </c>
      <c r="AC62" s="18">
        <f t="shared" ref="AC62:AF62" si="277">AC49+AC13*AC19</f>
        <v>10141.945282793939</v>
      </c>
      <c r="AD62" s="18">
        <f t="shared" si="277"/>
        <v>10141.945282793939</v>
      </c>
      <c r="AE62" s="18">
        <f t="shared" si="277"/>
        <v>10141.945282793939</v>
      </c>
      <c r="AF62" s="18">
        <f t="shared" si="277"/>
        <v>10141.945282793939</v>
      </c>
      <c r="AG62" s="18">
        <f t="shared" ref="AG62:AJ62" si="278">AG49+AG13*AG19</f>
        <v>11832.269496592931</v>
      </c>
      <c r="AH62" s="18">
        <f t="shared" si="278"/>
        <v>11832.269496592931</v>
      </c>
      <c r="AI62" s="18">
        <f t="shared" si="278"/>
        <v>11832.269496592931</v>
      </c>
      <c r="AJ62" s="18">
        <f t="shared" si="278"/>
        <v>11832.269496592931</v>
      </c>
      <c r="AK62" s="10" t="s">
        <v>317</v>
      </c>
    </row>
    <row r="63" spans="1:37" x14ac:dyDescent="0.25">
      <c r="A63" s="88"/>
      <c r="B63" s="73" t="s">
        <v>283</v>
      </c>
      <c r="C63" s="11" t="s">
        <v>299</v>
      </c>
      <c r="D63" s="11" t="s">
        <v>109</v>
      </c>
      <c r="E63" s="18">
        <f t="shared" ref="E63:X63" si="279">E49+E51</f>
        <v>87.881917104301195</v>
      </c>
      <c r="F63" s="18">
        <f t="shared" si="279"/>
        <v>87.881917104301195</v>
      </c>
      <c r="G63" s="18">
        <f t="shared" si="279"/>
        <v>87.881917104301181</v>
      </c>
      <c r="H63" s="18">
        <f t="shared" si="279"/>
        <v>87.881917104301166</v>
      </c>
      <c r="I63" s="18">
        <f t="shared" ref="I63:L63" si="280">I49+I51</f>
        <v>109.85239638037649</v>
      </c>
      <c r="J63" s="18">
        <f t="shared" si="280"/>
        <v>109.85239638037649</v>
      </c>
      <c r="K63" s="18">
        <f t="shared" si="280"/>
        <v>109.85239638037646</v>
      </c>
      <c r="L63" s="18">
        <f t="shared" si="280"/>
        <v>109.85239638037642</v>
      </c>
      <c r="M63" s="18">
        <f t="shared" ref="M63:P63" si="281">M49+M51</f>
        <v>131.82287565645174</v>
      </c>
      <c r="N63" s="18">
        <f t="shared" si="281"/>
        <v>131.82287565645177</v>
      </c>
      <c r="O63" s="18">
        <f t="shared" si="281"/>
        <v>131.82287565645177</v>
      </c>
      <c r="P63" s="18">
        <f t="shared" si="281"/>
        <v>131.82287565645169</v>
      </c>
      <c r="Q63" s="18">
        <f t="shared" ref="Q63:T63" si="282">Q49+Q51</f>
        <v>153.79335493252705</v>
      </c>
      <c r="R63" s="18">
        <f t="shared" si="282"/>
        <v>153.79335493252705</v>
      </c>
      <c r="S63" s="18">
        <f t="shared" si="282"/>
        <v>153.79335493252705</v>
      </c>
      <c r="T63" s="18">
        <f t="shared" si="282"/>
        <v>153.79335493252702</v>
      </c>
      <c r="U63" s="18">
        <f t="shared" si="279"/>
        <v>96.789230821763837</v>
      </c>
      <c r="V63" s="18">
        <f t="shared" si="279"/>
        <v>96.789230821763837</v>
      </c>
      <c r="W63" s="18">
        <f t="shared" si="279"/>
        <v>96.789230821763866</v>
      </c>
      <c r="X63" s="18">
        <f t="shared" si="279"/>
        <v>96.789230821763837</v>
      </c>
      <c r="Y63" s="18">
        <f t="shared" ref="Y63:AB63" si="283">Y49+Y51</f>
        <v>120.98653852720481</v>
      </c>
      <c r="Z63" s="18">
        <f t="shared" si="283"/>
        <v>120.98653852720477</v>
      </c>
      <c r="AA63" s="18">
        <f t="shared" si="283"/>
        <v>120.98653852720483</v>
      </c>
      <c r="AB63" s="18">
        <f t="shared" si="283"/>
        <v>120.98653852720479</v>
      </c>
      <c r="AC63" s="18">
        <f t="shared" ref="AC63:AF63" si="284">AC49+AC51</f>
        <v>145.18384623264575</v>
      </c>
      <c r="AD63" s="18">
        <f t="shared" si="284"/>
        <v>145.18384623264578</v>
      </c>
      <c r="AE63" s="18">
        <f t="shared" si="284"/>
        <v>145.18384623264575</v>
      </c>
      <c r="AF63" s="18">
        <f t="shared" si="284"/>
        <v>145.18384623264578</v>
      </c>
      <c r="AG63" s="18">
        <f t="shared" ref="AG63:AJ63" si="285">AG49+AG51</f>
        <v>169.38115393808675</v>
      </c>
      <c r="AH63" s="18">
        <f t="shared" si="285"/>
        <v>169.3811539380867</v>
      </c>
      <c r="AI63" s="18">
        <f t="shared" si="285"/>
        <v>169.38115393808678</v>
      </c>
      <c r="AJ63" s="18">
        <f t="shared" si="285"/>
        <v>169.38115393808675</v>
      </c>
      <c r="AK63" s="10" t="s">
        <v>318</v>
      </c>
    </row>
    <row r="64" spans="1:37" x14ac:dyDescent="0.25">
      <c r="A64" s="88"/>
      <c r="B64" s="73" t="s">
        <v>304</v>
      </c>
      <c r="C64" s="11" t="s">
        <v>304</v>
      </c>
      <c r="D64" s="11" t="s">
        <v>109</v>
      </c>
      <c r="E64" s="18">
        <f t="shared" ref="E64:X64" si="286">E48-E12*E16</f>
        <v>6068.8646720421984</v>
      </c>
      <c r="F64" s="18">
        <f t="shared" si="286"/>
        <v>5993.4110258924375</v>
      </c>
      <c r="G64" s="18">
        <f t="shared" si="286"/>
        <v>5442.7379380239936</v>
      </c>
      <c r="H64" s="18">
        <f t="shared" si="286"/>
        <v>4930.9019897645976</v>
      </c>
      <c r="I64" s="18">
        <f t="shared" si="286"/>
        <v>5746.5549234985501</v>
      </c>
      <c r="J64" s="18">
        <f t="shared" si="286"/>
        <v>5667.9482410233923</v>
      </c>
      <c r="K64" s="18">
        <f t="shared" si="286"/>
        <v>5131.1716874584254</v>
      </c>
      <c r="L64" s="18">
        <f t="shared" si="286"/>
        <v>4633.5510265720604</v>
      </c>
      <c r="M64" s="18">
        <f t="shared" si="286"/>
        <v>5455.3153769774117</v>
      </c>
      <c r="N64" s="18">
        <f t="shared" si="286"/>
        <v>5377.4312984296894</v>
      </c>
      <c r="O64" s="18">
        <f t="shared" si="286"/>
        <v>4855.9416498357523</v>
      </c>
      <c r="P64" s="18">
        <f t="shared" si="286"/>
        <v>4373.9042113175146</v>
      </c>
      <c r="Q64" s="18">
        <f t="shared" si="286"/>
        <v>5195.2009774030366</v>
      </c>
      <c r="R64" s="18">
        <f t="shared" si="286"/>
        <v>5121.6483057247506</v>
      </c>
      <c r="S64" s="18">
        <f t="shared" si="286"/>
        <v>4616.5720958344418</v>
      </c>
      <c r="T64" s="18">
        <f t="shared" si="286"/>
        <v>4151.2291095297733</v>
      </c>
      <c r="U64" s="18">
        <f t="shared" si="286"/>
        <v>6201.286474553689</v>
      </c>
      <c r="V64" s="18">
        <f t="shared" si="286"/>
        <v>6129.4438626685478</v>
      </c>
      <c r="W64" s="18">
        <f t="shared" si="286"/>
        <v>5571.6924537101449</v>
      </c>
      <c r="X64" s="18">
        <f t="shared" si="286"/>
        <v>5052.5840797704222</v>
      </c>
      <c r="Y64" s="18">
        <f t="shared" ref="Y64:AB64" si="287">Y48-Y12*Y16</f>
        <v>5892.3104030768118</v>
      </c>
      <c r="Z64" s="18">
        <f t="shared" si="287"/>
        <v>5815.5076615871494</v>
      </c>
      <c r="AA64" s="18">
        <f t="shared" si="287"/>
        <v>5268.7614572608818</v>
      </c>
      <c r="AB64" s="18">
        <f t="shared" si="287"/>
        <v>4760.9491738600627</v>
      </c>
      <c r="AC64" s="18">
        <f t="shared" ref="AC64:AF64" si="288">AC48-AC12*AC16</f>
        <v>5605.7081944291167</v>
      </c>
      <c r="AD64" s="18">
        <f t="shared" si="288"/>
        <v>5526.9679886430704</v>
      </c>
      <c r="AE64" s="18">
        <f t="shared" si="288"/>
        <v>4992.4537316323358</v>
      </c>
      <c r="AF64" s="18">
        <f t="shared" si="288"/>
        <v>4497.1420518226023</v>
      </c>
      <c r="AG64" s="18">
        <f t="shared" ref="AG64:AJ64" si="289">AG48-AG12*AG16</f>
        <v>5342.0947778942091</v>
      </c>
      <c r="AH64" s="18">
        <f t="shared" si="289"/>
        <v>5264.2424704716304</v>
      </c>
      <c r="AI64" s="18">
        <f t="shared" si="289"/>
        <v>4742.947817244306</v>
      </c>
      <c r="AJ64" s="18">
        <f t="shared" si="289"/>
        <v>4261.1089035851501</v>
      </c>
      <c r="AK64" s="10" t="s">
        <v>305</v>
      </c>
    </row>
    <row r="65" spans="1:37" x14ac:dyDescent="0.25">
      <c r="A65" s="88"/>
      <c r="B65" s="73" t="s">
        <v>306</v>
      </c>
      <c r="C65" s="11" t="s">
        <v>306</v>
      </c>
      <c r="D65" s="11" t="s">
        <v>109</v>
      </c>
      <c r="E65" s="18">
        <f t="shared" ref="E65:X65" si="290">0.5*E11*E30*(E43-E12*E39)</f>
        <v>2.9074398754768311</v>
      </c>
      <c r="F65" s="18">
        <f t="shared" si="290"/>
        <v>2.7413068923740078</v>
      </c>
      <c r="G65" s="18">
        <f t="shared" si="290"/>
        <v>2.5825357374707574</v>
      </c>
      <c r="H65" s="18">
        <f t="shared" si="290"/>
        <v>2.4308972445026895</v>
      </c>
      <c r="I65" s="18">
        <f t="shared" si="290"/>
        <v>2.9074398754768311</v>
      </c>
      <c r="J65" s="18">
        <f t="shared" si="290"/>
        <v>2.7413068923740078</v>
      </c>
      <c r="K65" s="18">
        <f t="shared" si="290"/>
        <v>2.5825357374707574</v>
      </c>
      <c r="L65" s="18">
        <f t="shared" si="290"/>
        <v>2.4308972445026895</v>
      </c>
      <c r="M65" s="18">
        <f t="shared" si="290"/>
        <v>2.9074398754768311</v>
      </c>
      <c r="N65" s="18">
        <f t="shared" si="290"/>
        <v>2.7413068923740078</v>
      </c>
      <c r="O65" s="18">
        <f t="shared" si="290"/>
        <v>2.5825357374707574</v>
      </c>
      <c r="P65" s="18">
        <f t="shared" si="290"/>
        <v>2.4308972445026895</v>
      </c>
      <c r="Q65" s="18">
        <f t="shared" si="290"/>
        <v>2.9074398754768311</v>
      </c>
      <c r="R65" s="18">
        <f t="shared" si="290"/>
        <v>2.7413068923740078</v>
      </c>
      <c r="S65" s="18">
        <f t="shared" si="290"/>
        <v>2.5825357374707574</v>
      </c>
      <c r="T65" s="18">
        <f t="shared" si="290"/>
        <v>2.4308972445026895</v>
      </c>
      <c r="U65" s="18">
        <f t="shared" si="290"/>
        <v>3.8355996607443057</v>
      </c>
      <c r="V65" s="18">
        <f t="shared" si="290"/>
        <v>3.6164310309809395</v>
      </c>
      <c r="W65" s="18">
        <f t="shared" si="290"/>
        <v>3.4069743907871284</v>
      </c>
      <c r="X65" s="18">
        <f t="shared" si="290"/>
        <v>3.2069274157525336</v>
      </c>
      <c r="Y65" s="18">
        <f t="shared" ref="Y65:AB65" si="291">0.5*Y11*Y30*(Y43-Y12*Y39)</f>
        <v>3.8355996607443057</v>
      </c>
      <c r="Z65" s="18">
        <f t="shared" si="291"/>
        <v>3.6164310309809395</v>
      </c>
      <c r="AA65" s="18">
        <f t="shared" si="291"/>
        <v>3.4069743907871284</v>
      </c>
      <c r="AB65" s="18">
        <f t="shared" si="291"/>
        <v>3.2069274157525336</v>
      </c>
      <c r="AC65" s="18">
        <f t="shared" ref="AC65:AF65" si="292">0.5*AC11*AC30*(AC43-AC12*AC39)</f>
        <v>3.8355996607443057</v>
      </c>
      <c r="AD65" s="18">
        <f t="shared" si="292"/>
        <v>3.6164310309809395</v>
      </c>
      <c r="AE65" s="18">
        <f t="shared" si="292"/>
        <v>3.4069743907871284</v>
      </c>
      <c r="AF65" s="18">
        <f t="shared" si="292"/>
        <v>3.2069274157525336</v>
      </c>
      <c r="AG65" s="18">
        <f t="shared" ref="AG65:AJ65" si="293">0.5*AG11*AG30*(AG43-AG12*AG39)</f>
        <v>3.8355996607443057</v>
      </c>
      <c r="AH65" s="18">
        <f t="shared" si="293"/>
        <v>3.6164310309809395</v>
      </c>
      <c r="AI65" s="18">
        <f t="shared" si="293"/>
        <v>3.4069743907871284</v>
      </c>
      <c r="AJ65" s="18">
        <f t="shared" si="293"/>
        <v>3.2069274157525336</v>
      </c>
      <c r="AK65" s="10" t="s">
        <v>314</v>
      </c>
    </row>
    <row r="66" spans="1:37" x14ac:dyDescent="0.25">
      <c r="A66" s="88"/>
      <c r="B66" s="73" t="s">
        <v>311</v>
      </c>
      <c r="C66" s="73" t="s">
        <v>311</v>
      </c>
      <c r="D66" s="11" t="s">
        <v>109</v>
      </c>
      <c r="E66" s="18">
        <f t="shared" ref="E66:X66" si="294">0.5*E11*E30*(E43-E13*E39)</f>
        <v>-10.017608419218073</v>
      </c>
      <c r="F66" s="18">
        <f t="shared" si="294"/>
        <v>-9.4451958358047321</v>
      </c>
      <c r="G66" s="18">
        <f t="shared" si="294"/>
        <v>-8.8981484930537711</v>
      </c>
      <c r="H66" s="18">
        <f t="shared" si="294"/>
        <v>-8.3756767966836705</v>
      </c>
      <c r="I66" s="18">
        <f t="shared" si="294"/>
        <v>-10.017608419218073</v>
      </c>
      <c r="J66" s="18">
        <f t="shared" si="294"/>
        <v>-9.4451958358047321</v>
      </c>
      <c r="K66" s="18">
        <f t="shared" si="294"/>
        <v>-8.8981484930537711</v>
      </c>
      <c r="L66" s="18">
        <f t="shared" si="294"/>
        <v>-8.3756767966836705</v>
      </c>
      <c r="M66" s="18">
        <f t="shared" si="294"/>
        <v>-10.017608419218073</v>
      </c>
      <c r="N66" s="18">
        <f t="shared" si="294"/>
        <v>-9.4451958358047321</v>
      </c>
      <c r="O66" s="18">
        <f t="shared" si="294"/>
        <v>-8.8981484930537711</v>
      </c>
      <c r="P66" s="18">
        <f t="shared" si="294"/>
        <v>-8.3756767966836705</v>
      </c>
      <c r="Q66" s="18">
        <f t="shared" si="294"/>
        <v>-10.017608419218073</v>
      </c>
      <c r="R66" s="18">
        <f t="shared" si="294"/>
        <v>-9.4451958358047321</v>
      </c>
      <c r="S66" s="18">
        <f t="shared" si="294"/>
        <v>-8.8981484930537711</v>
      </c>
      <c r="T66" s="18">
        <f t="shared" si="294"/>
        <v>-8.3756767966836705</v>
      </c>
      <c r="U66" s="18">
        <f t="shared" si="294"/>
        <v>-11.212849425221904</v>
      </c>
      <c r="V66" s="18">
        <f t="shared" si="294"/>
        <v>-10.572140002541451</v>
      </c>
      <c r="W66" s="18">
        <f t="shared" si="294"/>
        <v>-9.9598222490378596</v>
      </c>
      <c r="X66" s="18">
        <f t="shared" si="294"/>
        <v>-9.3750123607715867</v>
      </c>
      <c r="Y66" s="18">
        <f t="shared" ref="Y66:AB66" si="295">0.5*Y11*Y30*(Y43-Y13*Y39)</f>
        <v>-11.212849425221904</v>
      </c>
      <c r="Z66" s="18">
        <f t="shared" si="295"/>
        <v>-10.572140002541451</v>
      </c>
      <c r="AA66" s="18">
        <f t="shared" si="295"/>
        <v>-9.9598222490378596</v>
      </c>
      <c r="AB66" s="18">
        <f t="shared" si="295"/>
        <v>-9.3750123607715867</v>
      </c>
      <c r="AC66" s="18">
        <f t="shared" ref="AC66:AF66" si="296">0.5*AC11*AC30*(AC43-AC13*AC39)</f>
        <v>-11.212849425221904</v>
      </c>
      <c r="AD66" s="18">
        <f t="shared" si="296"/>
        <v>-10.572140002541451</v>
      </c>
      <c r="AE66" s="18">
        <f t="shared" si="296"/>
        <v>-9.9598222490378596</v>
      </c>
      <c r="AF66" s="18">
        <f t="shared" si="296"/>
        <v>-9.3750123607715867</v>
      </c>
      <c r="AG66" s="18">
        <f t="shared" ref="AG66:AJ66" si="297">0.5*AG11*AG30*(AG43-AG13*AG39)</f>
        <v>-11.212849425221904</v>
      </c>
      <c r="AH66" s="18">
        <f t="shared" si="297"/>
        <v>-10.572140002541451</v>
      </c>
      <c r="AI66" s="18">
        <f t="shared" si="297"/>
        <v>-9.9598222490378596</v>
      </c>
      <c r="AJ66" s="18">
        <f t="shared" si="297"/>
        <v>-9.3750123607715867</v>
      </c>
      <c r="AK66" s="10" t="s">
        <v>313</v>
      </c>
    </row>
    <row r="67" spans="1:37" x14ac:dyDescent="0.25">
      <c r="A67" s="88"/>
      <c r="B67" s="73" t="s">
        <v>312</v>
      </c>
      <c r="C67" s="73" t="s">
        <v>312</v>
      </c>
      <c r="D67" s="11" t="s">
        <v>109</v>
      </c>
      <c r="E67" s="18">
        <f t="shared" ref="E67:X67" si="298">E49+E13*E16</f>
        <v>6761.2968551959593</v>
      </c>
      <c r="F67" s="18">
        <f t="shared" si="298"/>
        <v>6761.2968551959593</v>
      </c>
      <c r="G67" s="18">
        <f t="shared" si="298"/>
        <v>6761.2968551959593</v>
      </c>
      <c r="H67" s="18">
        <f t="shared" si="298"/>
        <v>6761.2968551959593</v>
      </c>
      <c r="I67" s="18">
        <f t="shared" si="298"/>
        <v>8451.6210689949494</v>
      </c>
      <c r="J67" s="18">
        <f t="shared" si="298"/>
        <v>8451.6210689949494</v>
      </c>
      <c r="K67" s="18">
        <f t="shared" si="298"/>
        <v>8451.6210689949494</v>
      </c>
      <c r="L67" s="18">
        <f t="shared" si="298"/>
        <v>8451.6210689949494</v>
      </c>
      <c r="M67" s="18">
        <f t="shared" si="298"/>
        <v>10141.945282793939</v>
      </c>
      <c r="N67" s="18">
        <f t="shared" si="298"/>
        <v>10141.945282793939</v>
      </c>
      <c r="O67" s="18">
        <f t="shared" si="298"/>
        <v>10141.945282793939</v>
      </c>
      <c r="P67" s="18">
        <f t="shared" si="298"/>
        <v>10141.945282793939</v>
      </c>
      <c r="Q67" s="18">
        <f t="shared" si="298"/>
        <v>11832.269496592931</v>
      </c>
      <c r="R67" s="18">
        <f t="shared" si="298"/>
        <v>11832.269496592931</v>
      </c>
      <c r="S67" s="18">
        <f t="shared" si="298"/>
        <v>11832.269496592931</v>
      </c>
      <c r="T67" s="18">
        <f t="shared" si="298"/>
        <v>11832.269496592931</v>
      </c>
      <c r="U67" s="18">
        <f t="shared" si="298"/>
        <v>6761.2968551959593</v>
      </c>
      <c r="V67" s="18">
        <f t="shared" si="298"/>
        <v>6761.2968551959593</v>
      </c>
      <c r="W67" s="18">
        <f t="shared" si="298"/>
        <v>6761.2968551959593</v>
      </c>
      <c r="X67" s="18">
        <f t="shared" si="298"/>
        <v>6761.2968551959593</v>
      </c>
      <c r="Y67" s="18">
        <f t="shared" ref="Y67:AB67" si="299">Y49+Y13*Y16</f>
        <v>8451.6210689949494</v>
      </c>
      <c r="Z67" s="18">
        <f t="shared" si="299"/>
        <v>8451.6210689949494</v>
      </c>
      <c r="AA67" s="18">
        <f t="shared" si="299"/>
        <v>8451.6210689949494</v>
      </c>
      <c r="AB67" s="18">
        <f t="shared" si="299"/>
        <v>8451.6210689949494</v>
      </c>
      <c r="AC67" s="18">
        <f t="shared" ref="AC67:AF67" si="300">AC49+AC13*AC16</f>
        <v>10141.945282793939</v>
      </c>
      <c r="AD67" s="18">
        <f t="shared" si="300"/>
        <v>10141.945282793939</v>
      </c>
      <c r="AE67" s="18">
        <f t="shared" si="300"/>
        <v>10141.945282793939</v>
      </c>
      <c r="AF67" s="18">
        <f t="shared" si="300"/>
        <v>10141.945282793939</v>
      </c>
      <c r="AG67" s="18">
        <f t="shared" ref="AG67:AJ67" si="301">AG49+AG13*AG16</f>
        <v>11832.269496592931</v>
      </c>
      <c r="AH67" s="18">
        <f t="shared" si="301"/>
        <v>11832.269496592931</v>
      </c>
      <c r="AI67" s="18">
        <f t="shared" si="301"/>
        <v>11832.269496592931</v>
      </c>
      <c r="AJ67" s="18">
        <f t="shared" si="301"/>
        <v>11832.269496592931</v>
      </c>
      <c r="AK67" s="10" t="s">
        <v>315</v>
      </c>
    </row>
    <row r="68" spans="1:37" x14ac:dyDescent="0.25">
      <c r="A68" s="88"/>
      <c r="B68" s="73" t="s">
        <v>309</v>
      </c>
      <c r="C68" s="73" t="s">
        <v>322</v>
      </c>
      <c r="D68" s="11" t="s">
        <v>19</v>
      </c>
      <c r="E68" s="14">
        <f t="shared" ref="E68:X68" si="302">E21</f>
        <v>22.106566398110076</v>
      </c>
      <c r="F68" s="14">
        <f t="shared" si="302"/>
        <v>22.766582071758464</v>
      </c>
      <c r="G68" s="14">
        <f t="shared" si="302"/>
        <v>23.455975223338772</v>
      </c>
      <c r="H68" s="14">
        <f t="shared" si="302"/>
        <v>24.176496366858011</v>
      </c>
      <c r="I68" s="14">
        <f t="shared" si="302"/>
        <v>24.715892607643404</v>
      </c>
      <c r="J68" s="14">
        <f t="shared" si="302"/>
        <v>25.453812563889961</v>
      </c>
      <c r="K68" s="14">
        <f t="shared" si="302"/>
        <v>26.224577538968152</v>
      </c>
      <c r="L68" s="14">
        <f t="shared" si="302"/>
        <v>27.0301446670356</v>
      </c>
      <c r="M68" s="14">
        <f t="shared" si="302"/>
        <v>27.074903820162948</v>
      </c>
      <c r="N68" s="14">
        <f t="shared" si="302"/>
        <v>27.883254631501877</v>
      </c>
      <c r="O68" s="14">
        <f t="shared" si="302"/>
        <v>28.727585358272343</v>
      </c>
      <c r="P68" s="14">
        <f t="shared" si="302"/>
        <v>29.610039933526732</v>
      </c>
      <c r="Q68" s="14">
        <f t="shared" si="302"/>
        <v>29.24423851546808</v>
      </c>
      <c r="R68" s="14">
        <f t="shared" si="302"/>
        <v>30.117357182407282</v>
      </c>
      <c r="S68" s="14">
        <f t="shared" si="302"/>
        <v>31.029338599723555</v>
      </c>
      <c r="T68" s="14">
        <f t="shared" si="302"/>
        <v>31.982498479781448</v>
      </c>
      <c r="U68" s="14">
        <f t="shared" si="302"/>
        <v>20.487619920027974</v>
      </c>
      <c r="V68" s="14">
        <f t="shared" si="302"/>
        <v>21.099300179162448</v>
      </c>
      <c r="W68" s="14">
        <f t="shared" si="302"/>
        <v>21.738206493724945</v>
      </c>
      <c r="X68" s="14">
        <f t="shared" si="302"/>
        <v>22.405961181039391</v>
      </c>
      <c r="Y68" s="14">
        <f t="shared" ref="Y68:AB68" si="303">Y21</f>
        <v>22.905855419180678</v>
      </c>
      <c r="Z68" s="14">
        <f t="shared" si="303"/>
        <v>23.589734739140361</v>
      </c>
      <c r="AA68" s="14">
        <f t="shared" si="303"/>
        <v>24.304053714448166</v>
      </c>
      <c r="AB68" s="14">
        <f t="shared" si="303"/>
        <v>25.050626151012775</v>
      </c>
      <c r="AC68" s="14">
        <f t="shared" ref="AC68:AF68" si="304">AC21</f>
        <v>25.09210742407442</v>
      </c>
      <c r="AD68" s="14">
        <f t="shared" si="304"/>
        <v>25.841259684380844</v>
      </c>
      <c r="AE68" s="14">
        <f t="shared" si="304"/>
        <v>26.623756916440961</v>
      </c>
      <c r="AF68" s="14">
        <f t="shared" si="304"/>
        <v>27.441586045077027</v>
      </c>
      <c r="AG68" s="14">
        <f t="shared" ref="AG68:AJ68" si="305">AG21</f>
        <v>27.102573632003519</v>
      </c>
      <c r="AH68" s="14">
        <f t="shared" si="305"/>
        <v>27.911750555782199</v>
      </c>
      <c r="AI68" s="14">
        <f t="shared" si="305"/>
        <v>28.756944165482786</v>
      </c>
      <c r="AJ68" s="14">
        <f t="shared" si="305"/>
        <v>29.640300585198649</v>
      </c>
      <c r="AK68" s="10"/>
    </row>
    <row r="69" spans="1:37" x14ac:dyDescent="0.25">
      <c r="A69" s="89"/>
      <c r="B69" s="73" t="s">
        <v>310</v>
      </c>
      <c r="C69" s="73" t="s">
        <v>323</v>
      </c>
      <c r="D69" s="11" t="s">
        <v>324</v>
      </c>
      <c r="E69" s="14">
        <v>1</v>
      </c>
      <c r="F69" s="14">
        <v>1</v>
      </c>
      <c r="G69" s="14">
        <v>1</v>
      </c>
      <c r="H69" s="14">
        <v>1</v>
      </c>
      <c r="I69" s="14">
        <v>1</v>
      </c>
      <c r="J69" s="14">
        <v>1</v>
      </c>
      <c r="K69" s="14">
        <v>1</v>
      </c>
      <c r="L69" s="14">
        <v>1</v>
      </c>
      <c r="M69" s="14">
        <v>1</v>
      </c>
      <c r="N69" s="14">
        <v>1</v>
      </c>
      <c r="O69" s="14">
        <v>1</v>
      </c>
      <c r="P69" s="14">
        <v>1</v>
      </c>
      <c r="Q69" s="14">
        <v>1</v>
      </c>
      <c r="R69" s="14">
        <v>1</v>
      </c>
      <c r="S69" s="14">
        <v>1</v>
      </c>
      <c r="T69" s="14">
        <v>1</v>
      </c>
      <c r="U69" s="14">
        <v>1</v>
      </c>
      <c r="V69" s="14">
        <v>1</v>
      </c>
      <c r="W69" s="14">
        <v>1</v>
      </c>
      <c r="X69" s="14">
        <v>1</v>
      </c>
      <c r="Y69" s="14">
        <v>1</v>
      </c>
      <c r="Z69" s="14">
        <v>1</v>
      </c>
      <c r="AA69" s="14">
        <v>1</v>
      </c>
      <c r="AB69" s="14">
        <v>1</v>
      </c>
      <c r="AC69" s="14">
        <v>1</v>
      </c>
      <c r="AD69" s="14">
        <v>1</v>
      </c>
      <c r="AE69" s="14">
        <v>1</v>
      </c>
      <c r="AF69" s="14">
        <v>1</v>
      </c>
      <c r="AG69" s="14">
        <v>1</v>
      </c>
      <c r="AH69" s="14">
        <v>1</v>
      </c>
      <c r="AI69" s="14">
        <v>1</v>
      </c>
      <c r="AJ69" s="14">
        <v>1</v>
      </c>
      <c r="AK69" s="10" t="s">
        <v>320</v>
      </c>
    </row>
    <row r="70" spans="1:37" x14ac:dyDescent="0.25">
      <c r="A70" s="87" t="s">
        <v>103</v>
      </c>
      <c r="B70" s="87" t="s">
        <v>164</v>
      </c>
      <c r="C70" s="11" t="s">
        <v>157</v>
      </c>
      <c r="D70" s="11" t="s">
        <v>106</v>
      </c>
      <c r="E70" s="15">
        <f t="shared" ref="E70:X70" si="306">1/(2*E3*E53)*LN((E52+E53*E57^2)/(E52+E53*E56^2))</f>
        <v>103.92947765421417</v>
      </c>
      <c r="F70" s="15">
        <f t="shared" si="306"/>
        <v>111.87885243414908</v>
      </c>
      <c r="G70" s="15">
        <f t="shared" si="306"/>
        <v>133.35203848473395</v>
      </c>
      <c r="H70" s="15">
        <f t="shared" si="306"/>
        <v>159.99969805400005</v>
      </c>
      <c r="I70" s="15">
        <f t="shared" si="306"/>
        <v>182.67436343012278</v>
      </c>
      <c r="J70" s="15">
        <f t="shared" si="306"/>
        <v>197.18648523283437</v>
      </c>
      <c r="K70" s="15">
        <f t="shared" si="306"/>
        <v>238.2985219130139</v>
      </c>
      <c r="L70" s="15">
        <f t="shared" si="306"/>
        <v>290.74058113675557</v>
      </c>
      <c r="M70" s="15">
        <f t="shared" si="306"/>
        <v>299.55790579056116</v>
      </c>
      <c r="N70" s="15">
        <f t="shared" si="306"/>
        <v>324.20020908009707</v>
      </c>
      <c r="O70" s="15">
        <f t="shared" si="306"/>
        <v>399.04024906885036</v>
      </c>
      <c r="P70" s="15">
        <f t="shared" si="306"/>
        <v>498.56235102086936</v>
      </c>
      <c r="Q70" s="15">
        <f t="shared" si="306"/>
        <v>472.55567048673856</v>
      </c>
      <c r="R70" s="15">
        <f t="shared" si="306"/>
        <v>512.75311208893936</v>
      </c>
      <c r="S70" s="15">
        <f t="shared" si="306"/>
        <v>648.37970236421256</v>
      </c>
      <c r="T70" s="15">
        <f t="shared" si="306"/>
        <v>842.57086620314089</v>
      </c>
      <c r="U70" s="15">
        <f t="shared" si="306"/>
        <v>89.185424494950112</v>
      </c>
      <c r="V70" s="15">
        <f t="shared" si="306"/>
        <v>95.940671845107588</v>
      </c>
      <c r="W70" s="15">
        <f t="shared" si="306"/>
        <v>114.55618455486878</v>
      </c>
      <c r="X70" s="15">
        <f t="shared" si="306"/>
        <v>137.77481088426077</v>
      </c>
      <c r="Y70" s="15">
        <f t="shared" ref="Y70:AB70" si="307">1/(2*Y3*Y53)*LN((Y52+Y53*Y57^2)/(Y52+Y53*Y56^2))</f>
        <v>157.63206627763117</v>
      </c>
      <c r="Z70" s="15">
        <f t="shared" si="307"/>
        <v>170.11551698897938</v>
      </c>
      <c r="AA70" s="15">
        <f t="shared" si="307"/>
        <v>206.43317433428388</v>
      </c>
      <c r="AB70" s="15">
        <f t="shared" si="307"/>
        <v>253.30372152997319</v>
      </c>
      <c r="AC70" s="15">
        <f t="shared" ref="AC70:AF70" si="308">1/(2*AC3*AC53)*LN((AC52+AC53*AC57^2)/(AC52+AC53*AC56^2))</f>
        <v>261.33399715665041</v>
      </c>
      <c r="AD70" s="15">
        <f t="shared" si="308"/>
        <v>283.05449236019149</v>
      </c>
      <c r="AE70" s="15">
        <f t="shared" si="308"/>
        <v>351.56044109126066</v>
      </c>
      <c r="AF70" s="15">
        <f t="shared" si="308"/>
        <v>445.18018744436665</v>
      </c>
      <c r="AG70" s="15">
        <f t="shared" ref="AG70:AJ70" si="309">1/(2*AG3*AG53)*LN((AG52+AG53*AG57^2)/(AG52+AG53*AG56^2))</f>
        <v>420.75382452625536</v>
      </c>
      <c r="AH70" s="15">
        <f t="shared" si="309"/>
        <v>457.85478179735355</v>
      </c>
      <c r="AI70" s="15">
        <f t="shared" si="309"/>
        <v>591.13472252353199</v>
      </c>
      <c r="AJ70" s="15">
        <f t="shared" si="309"/>
        <v>796.86767065097047</v>
      </c>
      <c r="AK70" s="10" t="s">
        <v>237</v>
      </c>
    </row>
    <row r="71" spans="1:37" x14ac:dyDescent="0.25">
      <c r="A71" s="88"/>
      <c r="B71" s="89"/>
      <c r="C71" s="11" t="s">
        <v>158</v>
      </c>
      <c r="D71" s="11" t="s">
        <v>100</v>
      </c>
      <c r="E71" s="15">
        <f t="shared" ref="E71:X71" si="310">E70*CONVERT(1,"m","ft")</f>
        <v>340.97597655582075</v>
      </c>
      <c r="F71" s="15">
        <f t="shared" si="310"/>
        <v>367.05660247424242</v>
      </c>
      <c r="G71" s="15">
        <f t="shared" si="310"/>
        <v>437.50668794204051</v>
      </c>
      <c r="H71" s="15">
        <f t="shared" si="310"/>
        <v>524.93339256561694</v>
      </c>
      <c r="I71" s="15">
        <f t="shared" ref="I71:L71" si="311">I70*CONVERT(1,"m","ft")</f>
        <v>599.3253393376732</v>
      </c>
      <c r="J71" s="15">
        <f t="shared" si="311"/>
        <v>646.93728750929915</v>
      </c>
      <c r="K71" s="15">
        <f t="shared" si="311"/>
        <v>781.81929761487504</v>
      </c>
      <c r="L71" s="15">
        <f t="shared" si="311"/>
        <v>953.87329769276766</v>
      </c>
      <c r="M71" s="15">
        <f t="shared" ref="M71:P71" si="312">M70*CONVERT(1,"m","ft")</f>
        <v>982.80152818425586</v>
      </c>
      <c r="N71" s="15">
        <f t="shared" si="312"/>
        <v>1063.6489799215783</v>
      </c>
      <c r="O71" s="15">
        <f t="shared" si="312"/>
        <v>1309.1871688610577</v>
      </c>
      <c r="P71" s="15">
        <f t="shared" si="312"/>
        <v>1635.7032513808051</v>
      </c>
      <c r="Q71" s="15">
        <f t="shared" ref="Q71:T71" si="313">Q70*CONVERT(1,"m","ft")</f>
        <v>1550.3794963475675</v>
      </c>
      <c r="R71" s="15">
        <f t="shared" si="313"/>
        <v>1682.2608664335282</v>
      </c>
      <c r="S71" s="15">
        <f t="shared" si="313"/>
        <v>2127.2299946332432</v>
      </c>
      <c r="T71" s="15">
        <f t="shared" si="313"/>
        <v>2764.3401122150294</v>
      </c>
      <c r="U71" s="15">
        <f t="shared" si="310"/>
        <v>292.60309873671298</v>
      </c>
      <c r="V71" s="15">
        <f t="shared" si="310"/>
        <v>314.76598374379131</v>
      </c>
      <c r="W71" s="15">
        <f t="shared" si="310"/>
        <v>375.84050050809969</v>
      </c>
      <c r="X71" s="15">
        <f t="shared" si="310"/>
        <v>452.01709607697103</v>
      </c>
      <c r="Y71" s="15">
        <f t="shared" ref="Y71:AB71" si="314">Y70*CONVERT(1,"m","ft")</f>
        <v>517.1655717770052</v>
      </c>
      <c r="Z71" s="15">
        <f t="shared" si="314"/>
        <v>558.12177489822636</v>
      </c>
      <c r="AA71" s="15">
        <f t="shared" si="314"/>
        <v>677.27419401011775</v>
      </c>
      <c r="AB71" s="15">
        <f t="shared" si="314"/>
        <v>831.04895515083069</v>
      </c>
      <c r="AC71" s="15">
        <f t="shared" ref="AC71:AF71" si="315">AC70*CONVERT(1,"m","ft")</f>
        <v>857.39500379478488</v>
      </c>
      <c r="AD71" s="15">
        <f t="shared" si="315"/>
        <v>928.65647099800356</v>
      </c>
      <c r="AE71" s="15">
        <f t="shared" si="315"/>
        <v>1153.413520640619</v>
      </c>
      <c r="AF71" s="15">
        <f t="shared" si="315"/>
        <v>1460.5649194368984</v>
      </c>
      <c r="AG71" s="15">
        <f t="shared" ref="AG71:AJ71" si="316">AG70*CONVERT(1,"m","ft")</f>
        <v>1380.4259334850899</v>
      </c>
      <c r="AH71" s="15">
        <f t="shared" si="316"/>
        <v>1502.148234243286</v>
      </c>
      <c r="AI71" s="15">
        <f t="shared" si="316"/>
        <v>1939.4183809827166</v>
      </c>
      <c r="AJ71" s="15">
        <f t="shared" si="316"/>
        <v>2614.3952449178823</v>
      </c>
      <c r="AK71" s="10"/>
    </row>
    <row r="72" spans="1:37" x14ac:dyDescent="0.25">
      <c r="A72" s="88"/>
      <c r="B72" s="87" t="s">
        <v>163</v>
      </c>
      <c r="C72" s="11" t="s">
        <v>157</v>
      </c>
      <c r="D72" s="11" t="s">
        <v>106</v>
      </c>
      <c r="E72" s="15">
        <f t="shared" ref="E72:X72" si="317">E16/(2*E3)*E26^2/(E60-E61)*LN(E60/E61)</f>
        <v>85.890888636622392</v>
      </c>
      <c r="F72" s="15">
        <f t="shared" si="317"/>
        <v>92.210486852486511</v>
      </c>
      <c r="G72" s="15">
        <f t="shared" si="317"/>
        <v>107.4742505005146</v>
      </c>
      <c r="H72" s="15">
        <f t="shared" si="317"/>
        <v>125.62527392296883</v>
      </c>
      <c r="I72" s="15">
        <f t="shared" si="317"/>
        <v>140.47456056845863</v>
      </c>
      <c r="J72" s="15">
        <f t="shared" si="317"/>
        <v>150.97772081974458</v>
      </c>
      <c r="K72" s="15">
        <f t="shared" si="317"/>
        <v>176.34381031767026</v>
      </c>
      <c r="L72" s="15">
        <f t="shared" si="317"/>
        <v>206.56550385982655</v>
      </c>
      <c r="M72" s="15">
        <f t="shared" si="317"/>
        <v>211.0561259181685</v>
      </c>
      <c r="N72" s="15">
        <f t="shared" si="317"/>
        <v>226.93982940830654</v>
      </c>
      <c r="O72" s="15">
        <f t="shared" si="317"/>
        <v>265.45266871959512</v>
      </c>
      <c r="P72" s="15">
        <f t="shared" si="317"/>
        <v>311.36085036722034</v>
      </c>
      <c r="Q72" s="15">
        <f t="shared" si="317"/>
        <v>298.61361592563804</v>
      </c>
      <c r="R72" s="15">
        <f t="shared" si="317"/>
        <v>321.00697647329554</v>
      </c>
      <c r="S72" s="15">
        <f t="shared" si="317"/>
        <v>375.74820738503684</v>
      </c>
      <c r="T72" s="15">
        <f t="shared" si="317"/>
        <v>440.93404649036813</v>
      </c>
      <c r="U72" s="15">
        <f t="shared" si="317"/>
        <v>72.288828685976839</v>
      </c>
      <c r="V72" s="15">
        <f t="shared" si="317"/>
        <v>77.544062337973969</v>
      </c>
      <c r="W72" s="15">
        <f t="shared" si="317"/>
        <v>90.306236967112639</v>
      </c>
      <c r="X72" s="15">
        <f t="shared" si="317"/>
        <v>105.47499339158236</v>
      </c>
      <c r="Y72" s="15">
        <f t="shared" ref="Y72:AB72" si="318">Y16/(2*Y3)*Y26^2/(Y60-Y61)*LN(Y60/Y61)</f>
        <v>117.87956950208049</v>
      </c>
      <c r="Z72" s="15">
        <f t="shared" si="318"/>
        <v>126.61646095749258</v>
      </c>
      <c r="AA72" s="15">
        <f t="shared" si="318"/>
        <v>147.80806904197576</v>
      </c>
      <c r="AB72" s="15">
        <f t="shared" si="318"/>
        <v>173.06490357386426</v>
      </c>
      <c r="AC72" s="15">
        <f t="shared" ref="AC72:AF72" si="319">AC16/(2*AC3)*AC26^2/(AC60-AC61)*LN(AC60/AC61)</f>
        <v>176.82234440385128</v>
      </c>
      <c r="AD72" s="15">
        <f t="shared" si="319"/>
        <v>190.09313563215159</v>
      </c>
      <c r="AE72" s="15">
        <f t="shared" si="319"/>
        <v>222.34217799859749</v>
      </c>
      <c r="AF72" s="15">
        <f t="shared" si="319"/>
        <v>260.84790540224174</v>
      </c>
      <c r="AG72" s="15">
        <f t="shared" ref="AG72:AJ72" si="320">AG16/(2*AG3)*AG26^2/(AG60-AG61)*LN(AG60/AG61)</f>
        <v>250.1341408644808</v>
      </c>
      <c r="AH72" s="15">
        <f t="shared" si="320"/>
        <v>269.00936529660612</v>
      </c>
      <c r="AI72" s="15">
        <f t="shared" si="320"/>
        <v>315.10702967267065</v>
      </c>
      <c r="AJ72" s="15">
        <f t="shared" si="320"/>
        <v>370.19300313108403</v>
      </c>
      <c r="AK72" s="10" t="s">
        <v>238</v>
      </c>
    </row>
    <row r="73" spans="1:37" x14ac:dyDescent="0.25">
      <c r="A73" s="89"/>
      <c r="B73" s="89"/>
      <c r="C73" s="11" t="s">
        <v>158</v>
      </c>
      <c r="D73" s="11" t="s">
        <v>100</v>
      </c>
      <c r="E73" s="15">
        <f t="shared" ref="E73:X73" si="321">E72*CONVERT(1,"m","ft")</f>
        <v>281.79425405716006</v>
      </c>
      <c r="F73" s="15">
        <f t="shared" si="321"/>
        <v>302.52784400422087</v>
      </c>
      <c r="G73" s="15">
        <f t="shared" si="321"/>
        <v>352.60580872872248</v>
      </c>
      <c r="H73" s="15">
        <f t="shared" si="321"/>
        <v>412.15641050842794</v>
      </c>
      <c r="I73" s="15">
        <f t="shared" ref="I73:L73" si="322">I72*CONVERT(1,"m","ft")</f>
        <v>460.87454254743648</v>
      </c>
      <c r="J73" s="15">
        <f t="shared" si="322"/>
        <v>495.33372972357148</v>
      </c>
      <c r="K73" s="15">
        <f t="shared" si="322"/>
        <v>578.55580812883943</v>
      </c>
      <c r="L73" s="15">
        <f t="shared" si="322"/>
        <v>677.70834599680632</v>
      </c>
      <c r="M73" s="15">
        <f t="shared" ref="M73:P73" si="323">M72*CONVERT(1,"m","ft")</f>
        <v>692.44135799924049</v>
      </c>
      <c r="N73" s="15">
        <f t="shared" si="323"/>
        <v>744.55324609024456</v>
      </c>
      <c r="O73" s="15">
        <f t="shared" si="323"/>
        <v>870.90770577294995</v>
      </c>
      <c r="P73" s="15">
        <f t="shared" si="323"/>
        <v>1021.5250996299881</v>
      </c>
      <c r="Q73" s="15">
        <f t="shared" ref="Q73:T73" si="324">Q72*CONVERT(1,"m","ft")</f>
        <v>979.70346432295946</v>
      </c>
      <c r="R73" s="15">
        <f t="shared" si="324"/>
        <v>1053.1724949911272</v>
      </c>
      <c r="S73" s="15">
        <f t="shared" si="324"/>
        <v>1232.7697092684937</v>
      </c>
      <c r="T73" s="15">
        <f t="shared" si="324"/>
        <v>1446.634010795171</v>
      </c>
      <c r="U73" s="15">
        <f t="shared" si="321"/>
        <v>237.16807311672193</v>
      </c>
      <c r="V73" s="15">
        <f t="shared" si="321"/>
        <v>254.40965333980961</v>
      </c>
      <c r="W73" s="15">
        <f t="shared" si="321"/>
        <v>296.28030501021209</v>
      </c>
      <c r="X73" s="15">
        <f t="shared" si="321"/>
        <v>346.04656624534897</v>
      </c>
      <c r="Y73" s="15">
        <f t="shared" ref="Y73:AB73" si="325">Y72*CONVERT(1,"m","ft")</f>
        <v>386.74399442939796</v>
      </c>
      <c r="Z73" s="15">
        <f t="shared" si="325"/>
        <v>415.40833647471317</v>
      </c>
      <c r="AA73" s="15">
        <f t="shared" si="325"/>
        <v>484.93460971776824</v>
      </c>
      <c r="AB73" s="15">
        <f t="shared" si="325"/>
        <v>567.79824007173318</v>
      </c>
      <c r="AC73" s="15">
        <f t="shared" ref="AC73:AF73" si="326">AC72*CONVERT(1,"m","ft")</f>
        <v>580.12580184990577</v>
      </c>
      <c r="AD73" s="15">
        <f t="shared" si="326"/>
        <v>623.66514315010363</v>
      </c>
      <c r="AE73" s="15">
        <f t="shared" si="326"/>
        <v>729.46908792190777</v>
      </c>
      <c r="AF73" s="15">
        <f t="shared" si="326"/>
        <v>855.80021457428393</v>
      </c>
      <c r="AG73" s="15">
        <f t="shared" ref="AG73:AJ73" si="327">AG72*CONVERT(1,"m","ft")</f>
        <v>820.65006845302105</v>
      </c>
      <c r="AH73" s="15">
        <f t="shared" si="327"/>
        <v>882.57665779726415</v>
      </c>
      <c r="AI73" s="15">
        <f t="shared" si="327"/>
        <v>1033.815714149182</v>
      </c>
      <c r="AJ73" s="15">
        <f t="shared" si="327"/>
        <v>1214.5439735271787</v>
      </c>
      <c r="AK73" s="10"/>
    </row>
    <row r="74" spans="1:37" x14ac:dyDescent="0.25">
      <c r="A74" s="82"/>
      <c r="B74" s="82" t="s">
        <v>357</v>
      </c>
      <c r="C74" s="11"/>
      <c r="D74" s="11"/>
      <c r="E74" s="15">
        <f>50*CONVERT(1,"ft","m")/TAN(RADIANS(6))</f>
        <v>144.99891428235219</v>
      </c>
      <c r="F74" s="15">
        <f>50*CONVERT(1,"ft","m")/TAN(RADIANS(6))</f>
        <v>144.99891428235219</v>
      </c>
      <c r="G74" s="15"/>
      <c r="H74" s="15"/>
      <c r="I74" s="15">
        <f>50*CONVERT(1,"ft","m")/TAN(RADIANS(6))</f>
        <v>144.99891428235219</v>
      </c>
      <c r="J74" s="15">
        <f>50*CONVERT(1,"ft","m")/TAN(RADIANS(6))</f>
        <v>144.99891428235219</v>
      </c>
      <c r="K74" s="15"/>
      <c r="L74" s="15"/>
      <c r="M74" s="15">
        <f>50*CONVERT(1,"ft","m")/TAN(RADIANS(6))</f>
        <v>144.99891428235219</v>
      </c>
      <c r="N74" s="15">
        <f>50*CONVERT(1,"ft","m")/TAN(RADIANS(6))</f>
        <v>144.99891428235219</v>
      </c>
      <c r="O74" s="15"/>
      <c r="P74" s="15"/>
      <c r="Q74" s="15">
        <f>50*CONVERT(1,"ft","m")/TAN(RADIANS(6))</f>
        <v>144.99891428235219</v>
      </c>
      <c r="R74" s="15">
        <f>50*CONVERT(1,"ft","m")/TAN(RADIANS(6))</f>
        <v>144.99891428235219</v>
      </c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0"/>
    </row>
    <row r="75" spans="1:37" x14ac:dyDescent="0.25">
      <c r="A75" s="82"/>
      <c r="B75" s="82"/>
      <c r="C75" s="11"/>
      <c r="D75" s="11"/>
      <c r="E75" s="15">
        <f>50/TAN(RADIANS(6))</f>
        <v>475.71822271112921</v>
      </c>
      <c r="F75" s="15">
        <f>50/TAN(RADIANS(6))</f>
        <v>475.71822271112921</v>
      </c>
      <c r="G75" s="15"/>
      <c r="H75" s="15"/>
      <c r="I75" s="15">
        <f>50/TAN(RADIANS(6))</f>
        <v>475.71822271112921</v>
      </c>
      <c r="J75" s="15">
        <f>50/TAN(RADIANS(6))</f>
        <v>475.71822271112921</v>
      </c>
      <c r="K75" s="15"/>
      <c r="L75" s="15"/>
      <c r="M75" s="15">
        <f>50/TAN(RADIANS(6))</f>
        <v>475.71822271112921</v>
      </c>
      <c r="N75" s="15">
        <f>50/TAN(RADIANS(6))</f>
        <v>475.71822271112921</v>
      </c>
      <c r="O75" s="15"/>
      <c r="P75" s="15"/>
      <c r="Q75" s="15">
        <f>50/TAN(RADIANS(6))</f>
        <v>475.71822271112921</v>
      </c>
      <c r="R75" s="15">
        <f>50/TAN(RADIANS(6))</f>
        <v>475.71822271112921</v>
      </c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0"/>
    </row>
    <row r="76" spans="1:37" x14ac:dyDescent="0.25">
      <c r="A76" s="87" t="s">
        <v>156</v>
      </c>
      <c r="B76" s="87" t="s">
        <v>164</v>
      </c>
      <c r="C76" s="11" t="s">
        <v>157</v>
      </c>
      <c r="D76" s="11" t="s">
        <v>106</v>
      </c>
      <c r="E76" s="15">
        <f t="shared" ref="E76:X76" si="328">1/(2*E3*E55)*LN((E54+E55*E59^2)/(E54+E55*E58^2))</f>
        <v>189.12489522822113</v>
      </c>
      <c r="F76" s="15">
        <f t="shared" si="328"/>
        <v>200.58653898313221</v>
      </c>
      <c r="G76" s="15">
        <f t="shared" si="328"/>
        <v>212.91835534110754</v>
      </c>
      <c r="H76" s="15">
        <f t="shared" si="328"/>
        <v>226.20012551966141</v>
      </c>
      <c r="I76" s="15">
        <f t="shared" si="328"/>
        <v>236.40611903527656</v>
      </c>
      <c r="J76" s="15">
        <f t="shared" si="328"/>
        <v>250.73317372891529</v>
      </c>
      <c r="K76" s="15">
        <f t="shared" si="328"/>
        <v>266.14794417638427</v>
      </c>
      <c r="L76" s="15">
        <f t="shared" si="328"/>
        <v>282.75015689957655</v>
      </c>
      <c r="M76" s="15">
        <f t="shared" si="328"/>
        <v>283.68734284233142</v>
      </c>
      <c r="N76" s="15">
        <f t="shared" si="328"/>
        <v>300.87980847469845</v>
      </c>
      <c r="O76" s="15">
        <f t="shared" si="328"/>
        <v>319.37753301166117</v>
      </c>
      <c r="P76" s="15">
        <f t="shared" si="328"/>
        <v>339.30018827949192</v>
      </c>
      <c r="Q76" s="15">
        <f t="shared" si="328"/>
        <v>330.96856664938679</v>
      </c>
      <c r="R76" s="15">
        <f t="shared" si="328"/>
        <v>351.02644322048121</v>
      </c>
      <c r="S76" s="15">
        <f t="shared" si="328"/>
        <v>372.60712184693801</v>
      </c>
      <c r="T76" s="15">
        <f t="shared" si="328"/>
        <v>395.85021965940757</v>
      </c>
      <c r="U76" s="15">
        <f t="shared" si="328"/>
        <v>149.42559727349666</v>
      </c>
      <c r="V76" s="15">
        <f t="shared" si="328"/>
        <v>158.48132186092826</v>
      </c>
      <c r="W76" s="15">
        <f t="shared" si="328"/>
        <v>168.22456070071175</v>
      </c>
      <c r="X76" s="15">
        <f t="shared" si="328"/>
        <v>178.71834809652134</v>
      </c>
      <c r="Y76" s="15">
        <f t="shared" ref="Y76:AB76" si="329">1/(2*Y3*Y55)*LN((Y54+Y55*Y59^2)/(Y54+Y55*Y58^2))</f>
        <v>186.78199659187086</v>
      </c>
      <c r="Z76" s="15">
        <f t="shared" si="329"/>
        <v>198.10165232616023</v>
      </c>
      <c r="AA76" s="15">
        <f t="shared" si="329"/>
        <v>210.28070087588961</v>
      </c>
      <c r="AB76" s="15">
        <f t="shared" si="329"/>
        <v>223.39793512065171</v>
      </c>
      <c r="AC76" s="15">
        <f t="shared" ref="AC76:AF76" si="330">1/(2*AC3*AC55)*LN((AC54+AC55*AC59^2)/(AC54+AC55*AC58^2))</f>
        <v>224.13839591024498</v>
      </c>
      <c r="AD76" s="15">
        <f t="shared" si="330"/>
        <v>237.72198279139263</v>
      </c>
      <c r="AE76" s="15">
        <f t="shared" si="330"/>
        <v>252.3368410510673</v>
      </c>
      <c r="AF76" s="15">
        <f t="shared" si="330"/>
        <v>268.07752214478217</v>
      </c>
      <c r="AG76" s="15">
        <f t="shared" ref="AG76:AJ76" si="331">1/(2*AG3*AG55)*LN((AG54+AG55*AG59^2)/(AG54+AG55*AG58^2))</f>
        <v>261.49479522861924</v>
      </c>
      <c r="AH76" s="15">
        <f t="shared" si="331"/>
        <v>277.34231325662438</v>
      </c>
      <c r="AI76" s="15">
        <f t="shared" si="331"/>
        <v>294.39298122624547</v>
      </c>
      <c r="AJ76" s="15">
        <f t="shared" si="331"/>
        <v>312.75710916891256</v>
      </c>
      <c r="AK76" s="10" t="s">
        <v>237</v>
      </c>
    </row>
    <row r="77" spans="1:37" x14ac:dyDescent="0.25">
      <c r="A77" s="88"/>
      <c r="B77" s="89"/>
      <c r="C77" s="11" t="s">
        <v>158</v>
      </c>
      <c r="D77" s="11" t="s">
        <v>100</v>
      </c>
      <c r="E77" s="15">
        <f t="shared" ref="E77:X77" si="332">E76*CONVERT(1,"m","ft")</f>
        <v>620.48850140492505</v>
      </c>
      <c r="F77" s="15">
        <f t="shared" si="332"/>
        <v>658.09231949846526</v>
      </c>
      <c r="G77" s="15">
        <f t="shared" si="332"/>
        <v>698.55103458368615</v>
      </c>
      <c r="H77" s="15">
        <f t="shared" si="332"/>
        <v>742.12639606188134</v>
      </c>
      <c r="I77" s="15">
        <f t="shared" ref="I77:L77" si="333">I76*CONVERT(1,"m","ft")</f>
        <v>775.61062675615676</v>
      </c>
      <c r="J77" s="15">
        <f t="shared" si="333"/>
        <v>822.61539937308169</v>
      </c>
      <c r="K77" s="15">
        <f t="shared" si="333"/>
        <v>873.1887932296072</v>
      </c>
      <c r="L77" s="15">
        <f t="shared" si="333"/>
        <v>927.65799507735096</v>
      </c>
      <c r="M77" s="15">
        <f t="shared" ref="M77:P77" si="334">M76*CONVERT(1,"m","ft")</f>
        <v>930.73275210738655</v>
      </c>
      <c r="N77" s="15">
        <f t="shared" si="334"/>
        <v>987.13847924769834</v>
      </c>
      <c r="O77" s="15">
        <f t="shared" si="334"/>
        <v>1047.8265518755288</v>
      </c>
      <c r="P77" s="15">
        <f t="shared" si="334"/>
        <v>1113.1895940928214</v>
      </c>
      <c r="Q77" s="15">
        <f t="shared" ref="Q77:T77" si="335">Q76*CONVERT(1,"m","ft")</f>
        <v>1085.8548774586181</v>
      </c>
      <c r="R77" s="15">
        <f t="shared" si="335"/>
        <v>1151.6615591223137</v>
      </c>
      <c r="S77" s="15">
        <f t="shared" si="335"/>
        <v>1222.4643105214502</v>
      </c>
      <c r="T77" s="15">
        <f t="shared" si="335"/>
        <v>1298.7211931082925</v>
      </c>
      <c r="U77" s="15">
        <f t="shared" si="332"/>
        <v>490.24146087105208</v>
      </c>
      <c r="V77" s="15">
        <f t="shared" si="332"/>
        <v>519.95184337574892</v>
      </c>
      <c r="W77" s="15">
        <f t="shared" si="332"/>
        <v>551.91785006795192</v>
      </c>
      <c r="X77" s="15">
        <f t="shared" si="332"/>
        <v>586.34628640590995</v>
      </c>
      <c r="Y77" s="15">
        <f t="shared" ref="Y77:AB77" si="336">Y76*CONVERT(1,"m","ft")</f>
        <v>612.80182608881523</v>
      </c>
      <c r="Z77" s="15">
        <f t="shared" si="336"/>
        <v>649.93980421968581</v>
      </c>
      <c r="AA77" s="15">
        <f t="shared" si="336"/>
        <v>689.89731258493964</v>
      </c>
      <c r="AB77" s="15">
        <f t="shared" si="336"/>
        <v>732.93285800738749</v>
      </c>
      <c r="AC77" s="15">
        <f t="shared" ref="AC77:AF77" si="337">AC76*CONVERT(1,"m","ft")</f>
        <v>735.3621913065781</v>
      </c>
      <c r="AD77" s="15">
        <f t="shared" si="337"/>
        <v>779.92776506362418</v>
      </c>
      <c r="AE77" s="15">
        <f t="shared" si="337"/>
        <v>827.8767751019268</v>
      </c>
      <c r="AF77" s="15">
        <f t="shared" si="337"/>
        <v>879.51942960886538</v>
      </c>
      <c r="AG77" s="15">
        <f t="shared" ref="AG77:AJ77" si="338">AG76*CONVERT(1,"m","ft")</f>
        <v>857.9225565243413</v>
      </c>
      <c r="AH77" s="15">
        <f t="shared" si="338"/>
        <v>909.91572590756027</v>
      </c>
      <c r="AI77" s="15">
        <f t="shared" si="338"/>
        <v>965.85623761891566</v>
      </c>
      <c r="AJ77" s="15">
        <f t="shared" si="338"/>
        <v>1026.106001210343</v>
      </c>
      <c r="AK77" s="10"/>
    </row>
    <row r="78" spans="1:37" x14ac:dyDescent="0.25">
      <c r="A78" s="88"/>
      <c r="B78" s="87" t="s">
        <v>163</v>
      </c>
      <c r="C78" s="11" t="s">
        <v>157</v>
      </c>
      <c r="D78" s="11" t="s">
        <v>106</v>
      </c>
      <c r="E78" s="15">
        <f t="shared" ref="E78:X78" si="339">E19/(2*E3)*E28^2/(E62-E63)*LN(E62/E63)</f>
        <v>349.1105601417658</v>
      </c>
      <c r="F78" s="15">
        <f t="shared" si="339"/>
        <v>370.26790627852807</v>
      </c>
      <c r="G78" s="15">
        <f t="shared" si="339"/>
        <v>393.0315266422196</v>
      </c>
      <c r="H78" s="15">
        <f t="shared" si="339"/>
        <v>417.54869145605267</v>
      </c>
      <c r="I78" s="15">
        <f t="shared" si="339"/>
        <v>436.38820017720718</v>
      </c>
      <c r="J78" s="15">
        <f t="shared" si="339"/>
        <v>462.83488284816002</v>
      </c>
      <c r="K78" s="15">
        <f t="shared" si="339"/>
        <v>491.2894083027744</v>
      </c>
      <c r="L78" s="15">
        <f t="shared" si="339"/>
        <v>521.93586432006578</v>
      </c>
      <c r="M78" s="15">
        <f t="shared" si="339"/>
        <v>523.66584021264862</v>
      </c>
      <c r="N78" s="15">
        <f t="shared" si="339"/>
        <v>555.40185941779202</v>
      </c>
      <c r="O78" s="15">
        <f t="shared" si="339"/>
        <v>589.54728996332915</v>
      </c>
      <c r="P78" s="15">
        <f t="shared" si="339"/>
        <v>626.32303718407888</v>
      </c>
      <c r="Q78" s="15">
        <f t="shared" si="339"/>
        <v>610.94348024809005</v>
      </c>
      <c r="R78" s="15">
        <f t="shared" si="339"/>
        <v>647.96883598742409</v>
      </c>
      <c r="S78" s="15">
        <f t="shared" si="339"/>
        <v>687.80517162388412</v>
      </c>
      <c r="T78" s="15">
        <f t="shared" si="339"/>
        <v>730.71021004809199</v>
      </c>
      <c r="U78" s="15">
        <f t="shared" si="339"/>
        <v>293.57593952543999</v>
      </c>
      <c r="V78" s="15">
        <f t="shared" si="339"/>
        <v>311.36768941533927</v>
      </c>
      <c r="W78" s="15">
        <f t="shared" si="339"/>
        <v>330.51019611166339</v>
      </c>
      <c r="X78" s="15">
        <f t="shared" si="339"/>
        <v>351.12730288665836</v>
      </c>
      <c r="Y78" s="15">
        <f t="shared" ref="Y78:AB78" si="340">Y19/(2*Y3)*Y28^2/(Y62-Y63)*LN(Y62/Y63)</f>
        <v>366.96992440679998</v>
      </c>
      <c r="Z78" s="15">
        <f t="shared" si="340"/>
        <v>389.20961176917393</v>
      </c>
      <c r="AA78" s="15">
        <f t="shared" si="340"/>
        <v>413.13774513957918</v>
      </c>
      <c r="AB78" s="15">
        <f t="shared" si="340"/>
        <v>438.90912860832282</v>
      </c>
      <c r="AC78" s="15">
        <f t="shared" ref="AC78:AF78" si="341">AC19/(2*AC3)*AC28^2/(AC62-AC63)*LN(AC62/AC63)</f>
        <v>440.36390928815996</v>
      </c>
      <c r="AD78" s="15">
        <f t="shared" si="341"/>
        <v>467.05153412300882</v>
      </c>
      <c r="AE78" s="15">
        <f t="shared" si="341"/>
        <v>495.76529416749486</v>
      </c>
      <c r="AF78" s="15">
        <f t="shared" si="341"/>
        <v>526.69095432998756</v>
      </c>
      <c r="AG78" s="15">
        <f t="shared" ref="AG78:AJ78" si="342">AG19/(2*AG3)*AG28^2/(AG62-AG63)*LN(AG62/AG63)</f>
        <v>513.75789416952</v>
      </c>
      <c r="AH78" s="15">
        <f t="shared" si="342"/>
        <v>544.89345647684343</v>
      </c>
      <c r="AI78" s="15">
        <f t="shared" si="342"/>
        <v>578.39284319541082</v>
      </c>
      <c r="AJ78" s="15">
        <f t="shared" si="342"/>
        <v>614.47278005165208</v>
      </c>
      <c r="AK78" s="10" t="s">
        <v>238</v>
      </c>
    </row>
    <row r="79" spans="1:37" x14ac:dyDescent="0.25">
      <c r="A79" s="89"/>
      <c r="B79" s="89"/>
      <c r="C79" s="11" t="s">
        <v>158</v>
      </c>
      <c r="D79" s="11" t="s">
        <v>100</v>
      </c>
      <c r="E79" s="15">
        <f t="shared" ref="E79:X79" si="343">E78*CONVERT(1,"m","ft")</f>
        <v>1145.3758534834835</v>
      </c>
      <c r="F79" s="15">
        <f t="shared" si="343"/>
        <v>1214.7897187615752</v>
      </c>
      <c r="G79" s="15">
        <f t="shared" si="343"/>
        <v>1289.4735126057074</v>
      </c>
      <c r="H79" s="15">
        <f t="shared" si="343"/>
        <v>1369.9104050395429</v>
      </c>
      <c r="I79" s="15">
        <f t="shared" ref="I79:L79" si="344">I78*CONVERT(1,"m","ft")</f>
        <v>1431.7198168543543</v>
      </c>
      <c r="J79" s="15">
        <f t="shared" si="344"/>
        <v>1518.4871484519686</v>
      </c>
      <c r="K79" s="15">
        <f t="shared" si="344"/>
        <v>1611.841890757134</v>
      </c>
      <c r="L79" s="15">
        <f t="shared" si="344"/>
        <v>1712.3880062994285</v>
      </c>
      <c r="M79" s="15">
        <f t="shared" ref="M79:P79" si="345">M78*CONVERT(1,"m","ft")</f>
        <v>1718.0637802252252</v>
      </c>
      <c r="N79" s="15">
        <f t="shared" si="345"/>
        <v>1822.1845781423624</v>
      </c>
      <c r="O79" s="15">
        <f t="shared" si="345"/>
        <v>1934.2102689085602</v>
      </c>
      <c r="P79" s="15">
        <f t="shared" si="345"/>
        <v>2054.865607559314</v>
      </c>
      <c r="Q79" s="15">
        <f t="shared" ref="Q79:T79" si="346">Q78*CONVERT(1,"m","ft")</f>
        <v>2004.407743596096</v>
      </c>
      <c r="R79" s="15">
        <f t="shared" si="346"/>
        <v>2125.8820078327562</v>
      </c>
      <c r="S79" s="15">
        <f t="shared" si="346"/>
        <v>2256.5786470599874</v>
      </c>
      <c r="T79" s="15">
        <f t="shared" si="346"/>
        <v>2397.3432088191994</v>
      </c>
      <c r="U79" s="15">
        <f t="shared" si="343"/>
        <v>963.17565461102367</v>
      </c>
      <c r="V79" s="15">
        <f t="shared" si="343"/>
        <v>1021.5475374519006</v>
      </c>
      <c r="W79" s="15">
        <f t="shared" si="343"/>
        <v>1084.3510371117566</v>
      </c>
      <c r="X79" s="15">
        <f t="shared" si="343"/>
        <v>1151.9924635389054</v>
      </c>
      <c r="Y79" s="15">
        <f t="shared" ref="Y79:AB79" si="347">Y78*CONVERT(1,"m","ft")</f>
        <v>1203.9695682637796</v>
      </c>
      <c r="Z79" s="15">
        <f t="shared" si="347"/>
        <v>1276.9344218148751</v>
      </c>
      <c r="AA79" s="15">
        <f t="shared" si="347"/>
        <v>1355.4387963896954</v>
      </c>
      <c r="AB79" s="15">
        <f t="shared" si="347"/>
        <v>1439.9905794236313</v>
      </c>
      <c r="AC79" s="15">
        <f t="shared" ref="AC79:AF79" si="348">AC78*CONVERT(1,"m","ft")</f>
        <v>1444.7634819165353</v>
      </c>
      <c r="AD79" s="15">
        <f t="shared" si="348"/>
        <v>1532.3213061778506</v>
      </c>
      <c r="AE79" s="15">
        <f t="shared" si="348"/>
        <v>1626.5265556676341</v>
      </c>
      <c r="AF79" s="15">
        <f t="shared" si="348"/>
        <v>1727.9886953083583</v>
      </c>
      <c r="AG79" s="15">
        <f t="shared" ref="AG79:AJ79" si="349">AG78*CONVERT(1,"m","ft")</f>
        <v>1685.5573955692914</v>
      </c>
      <c r="AH79" s="15">
        <f t="shared" si="349"/>
        <v>1787.7081905408249</v>
      </c>
      <c r="AI79" s="15">
        <f t="shared" si="349"/>
        <v>1897.6143149455736</v>
      </c>
      <c r="AJ79" s="15">
        <f t="shared" si="349"/>
        <v>2015.9868111930843</v>
      </c>
      <c r="AK79" s="10"/>
    </row>
    <row r="80" spans="1:37" x14ac:dyDescent="0.25">
      <c r="A80" s="95" t="s">
        <v>290</v>
      </c>
      <c r="B80" s="11" t="s">
        <v>291</v>
      </c>
      <c r="C80" s="11" t="s">
        <v>333</v>
      </c>
      <c r="D80" s="11" t="s">
        <v>106</v>
      </c>
      <c r="E80" s="15">
        <f t="shared" ref="E80:X80" si="350">0.5*E15/E65*LN(E64/(E64-E65*E68^2))</f>
        <v>83.227132979374275</v>
      </c>
      <c r="F80" s="15">
        <f t="shared" si="350"/>
        <v>89.547047234635812</v>
      </c>
      <c r="G80" s="15">
        <f t="shared" si="350"/>
        <v>106.27349126196017</v>
      </c>
      <c r="H80" s="15">
        <f t="shared" si="350"/>
        <v>126.84547353925373</v>
      </c>
      <c r="I80" s="15">
        <f t="shared" si="350"/>
        <v>144.19919994956604</v>
      </c>
      <c r="J80" s="15">
        <f t="shared" si="350"/>
        <v>155.51245301134358</v>
      </c>
      <c r="K80" s="15">
        <f t="shared" si="350"/>
        <v>186.55250875470853</v>
      </c>
      <c r="L80" s="15">
        <f t="shared" si="350"/>
        <v>225.49388448105483</v>
      </c>
      <c r="M80" s="15">
        <f t="shared" si="350"/>
        <v>231.87135446215538</v>
      </c>
      <c r="N80" s="15">
        <f t="shared" si="350"/>
        <v>250.55495239124178</v>
      </c>
      <c r="O80" s="15">
        <f t="shared" si="350"/>
        <v>304.48639585657008</v>
      </c>
      <c r="P80" s="15">
        <f t="shared" si="350"/>
        <v>373.94584920990144</v>
      </c>
      <c r="Q80" s="15">
        <f t="shared" si="350"/>
        <v>355.61956384839453</v>
      </c>
      <c r="R80" s="15">
        <f t="shared" si="350"/>
        <v>384.85695384662665</v>
      </c>
      <c r="S80" s="15">
        <f t="shared" si="350"/>
        <v>475.49972384847831</v>
      </c>
      <c r="T80" s="15">
        <f t="shared" si="350"/>
        <v>596.75429963503871</v>
      </c>
      <c r="U80" s="15">
        <f t="shared" si="350"/>
        <v>71.094369313545798</v>
      </c>
      <c r="V80" s="15">
        <f t="shared" si="350"/>
        <v>76.436057971032469</v>
      </c>
      <c r="W80" s="15">
        <f t="shared" si="350"/>
        <v>90.803981659387915</v>
      </c>
      <c r="X80" s="15">
        <f t="shared" si="350"/>
        <v>108.53284289207294</v>
      </c>
      <c r="Y80" s="15">
        <f t="shared" ref="Y80:AB80" si="351">0.5*Y15/Y65*LN(Y64/(Y64-Y65*Y68^2))</f>
        <v>123.53594538461992</v>
      </c>
      <c r="Z80" s="15">
        <f t="shared" si="351"/>
        <v>133.17801181330353</v>
      </c>
      <c r="AA80" s="15">
        <f t="shared" si="351"/>
        <v>160.16375412126496</v>
      </c>
      <c r="AB80" s="15">
        <f t="shared" si="351"/>
        <v>194.26769627577059</v>
      </c>
      <c r="AC80" s="15">
        <f t="shared" ref="AC80:AF80" si="352">0.5*AC15/AC65*LN(AC64/(AC64-AC65*AC68^2))</f>
        <v>199.92519276954789</v>
      </c>
      <c r="AD80" s="15">
        <f t="shared" si="352"/>
        <v>216.12063515160946</v>
      </c>
      <c r="AE80" s="15">
        <f t="shared" si="352"/>
        <v>264.05139663635748</v>
      </c>
      <c r="AF80" s="15">
        <f t="shared" si="352"/>
        <v>326.7378694124497</v>
      </c>
      <c r="AG80" s="15">
        <f t="shared" ref="AG80:AJ80" si="353">0.5*AG15/AG65*LN(AG64/(AG64-AG65*AG68^2))</f>
        <v>310.22692150712538</v>
      </c>
      <c r="AH80" s="15">
        <f t="shared" si="353"/>
        <v>336.33327851650017</v>
      </c>
      <c r="AI80" s="15">
        <f t="shared" si="353"/>
        <v>420.06376070141567</v>
      </c>
      <c r="AJ80" s="15">
        <f t="shared" si="353"/>
        <v>535.80706872303983</v>
      </c>
      <c r="AK80" s="10" t="s">
        <v>325</v>
      </c>
    </row>
    <row r="81" spans="1:37" x14ac:dyDescent="0.25">
      <c r="A81" s="95"/>
      <c r="B81" s="11" t="s">
        <v>292</v>
      </c>
      <c r="C81" s="11" t="s">
        <v>334</v>
      </c>
      <c r="D81" s="11" t="s">
        <v>106</v>
      </c>
      <c r="E81" s="15">
        <f t="shared" ref="E81:X81" si="354">E68*E69</f>
        <v>22.106566398110076</v>
      </c>
      <c r="F81" s="15">
        <f t="shared" si="354"/>
        <v>22.766582071758464</v>
      </c>
      <c r="G81" s="15">
        <f t="shared" si="354"/>
        <v>23.455975223338772</v>
      </c>
      <c r="H81" s="15">
        <f t="shared" si="354"/>
        <v>24.176496366858011</v>
      </c>
      <c r="I81" s="15">
        <f t="shared" ref="I81:L81" si="355">I68*I69</f>
        <v>24.715892607643404</v>
      </c>
      <c r="J81" s="15">
        <f t="shared" si="355"/>
        <v>25.453812563889961</v>
      </c>
      <c r="K81" s="15">
        <f t="shared" si="355"/>
        <v>26.224577538968152</v>
      </c>
      <c r="L81" s="15">
        <f t="shared" si="355"/>
        <v>27.0301446670356</v>
      </c>
      <c r="M81" s="15">
        <f t="shared" ref="M81:P81" si="356">M68*M69</f>
        <v>27.074903820162948</v>
      </c>
      <c r="N81" s="15">
        <f t="shared" si="356"/>
        <v>27.883254631501877</v>
      </c>
      <c r="O81" s="15">
        <f t="shared" si="356"/>
        <v>28.727585358272343</v>
      </c>
      <c r="P81" s="15">
        <f t="shared" si="356"/>
        <v>29.610039933526732</v>
      </c>
      <c r="Q81" s="15">
        <f t="shared" ref="Q81:T81" si="357">Q68*Q69</f>
        <v>29.24423851546808</v>
      </c>
      <c r="R81" s="15">
        <f t="shared" si="357"/>
        <v>30.117357182407282</v>
      </c>
      <c r="S81" s="15">
        <f t="shared" si="357"/>
        <v>31.029338599723555</v>
      </c>
      <c r="T81" s="15">
        <f t="shared" si="357"/>
        <v>31.982498479781448</v>
      </c>
      <c r="U81" s="15">
        <f t="shared" si="354"/>
        <v>20.487619920027974</v>
      </c>
      <c r="V81" s="15">
        <f t="shared" si="354"/>
        <v>21.099300179162448</v>
      </c>
      <c r="W81" s="15">
        <f t="shared" si="354"/>
        <v>21.738206493724945</v>
      </c>
      <c r="X81" s="15">
        <f t="shared" si="354"/>
        <v>22.405961181039391</v>
      </c>
      <c r="Y81" s="15">
        <f t="shared" ref="Y81:AB81" si="358">Y68*Y69</f>
        <v>22.905855419180678</v>
      </c>
      <c r="Z81" s="15">
        <f t="shared" si="358"/>
        <v>23.589734739140361</v>
      </c>
      <c r="AA81" s="15">
        <f t="shared" si="358"/>
        <v>24.304053714448166</v>
      </c>
      <c r="AB81" s="15">
        <f t="shared" si="358"/>
        <v>25.050626151012775</v>
      </c>
      <c r="AC81" s="15">
        <f t="shared" ref="AC81:AF81" si="359">AC68*AC69</f>
        <v>25.09210742407442</v>
      </c>
      <c r="AD81" s="15">
        <f t="shared" si="359"/>
        <v>25.841259684380844</v>
      </c>
      <c r="AE81" s="15">
        <f t="shared" si="359"/>
        <v>26.623756916440961</v>
      </c>
      <c r="AF81" s="15">
        <f t="shared" si="359"/>
        <v>27.441586045077027</v>
      </c>
      <c r="AG81" s="15">
        <f t="shared" ref="AG81:AJ81" si="360">AG68*AG69</f>
        <v>27.102573632003519</v>
      </c>
      <c r="AH81" s="15">
        <f t="shared" si="360"/>
        <v>27.911750555782199</v>
      </c>
      <c r="AI81" s="15">
        <f t="shared" si="360"/>
        <v>28.756944165482786</v>
      </c>
      <c r="AJ81" s="15">
        <f t="shared" si="360"/>
        <v>29.640300585198649</v>
      </c>
      <c r="AK81" s="10" t="s">
        <v>321</v>
      </c>
    </row>
    <row r="82" spans="1:37" x14ac:dyDescent="0.25">
      <c r="A82" s="95"/>
      <c r="B82" s="11" t="s">
        <v>293</v>
      </c>
      <c r="C82" s="11" t="s">
        <v>335</v>
      </c>
      <c r="D82" s="11" t="s">
        <v>106</v>
      </c>
      <c r="E82" s="15">
        <f t="shared" ref="E82:X82" si="361">0.5*E15</f>
        <v>907.18474000000003</v>
      </c>
      <c r="F82" s="15">
        <f t="shared" si="361"/>
        <v>907.18474000000003</v>
      </c>
      <c r="G82" s="15">
        <f t="shared" si="361"/>
        <v>907.18474000000003</v>
      </c>
      <c r="H82" s="15">
        <f t="shared" si="361"/>
        <v>907.18474000000003</v>
      </c>
      <c r="I82" s="15">
        <f t="shared" si="361"/>
        <v>1133.9809250000001</v>
      </c>
      <c r="J82" s="15">
        <f t="shared" si="361"/>
        <v>1133.9809250000001</v>
      </c>
      <c r="K82" s="15">
        <f t="shared" si="361"/>
        <v>1133.9809250000001</v>
      </c>
      <c r="L82" s="15">
        <f t="shared" si="361"/>
        <v>1133.9809250000001</v>
      </c>
      <c r="M82" s="15">
        <f t="shared" si="361"/>
        <v>1360.77711</v>
      </c>
      <c r="N82" s="15">
        <f t="shared" si="361"/>
        <v>1360.77711</v>
      </c>
      <c r="O82" s="15">
        <f t="shared" si="361"/>
        <v>1360.77711</v>
      </c>
      <c r="P82" s="15">
        <f t="shared" si="361"/>
        <v>1360.77711</v>
      </c>
      <c r="Q82" s="15">
        <f t="shared" si="361"/>
        <v>1587.5732950000001</v>
      </c>
      <c r="R82" s="15">
        <f t="shared" si="361"/>
        <v>1587.5732950000001</v>
      </c>
      <c r="S82" s="15">
        <f t="shared" si="361"/>
        <v>1587.5732950000001</v>
      </c>
      <c r="T82" s="15">
        <f t="shared" si="361"/>
        <v>1587.5732950000001</v>
      </c>
      <c r="U82" s="15">
        <f t="shared" si="361"/>
        <v>907.18474000000003</v>
      </c>
      <c r="V82" s="15">
        <f t="shared" si="361"/>
        <v>907.18474000000003</v>
      </c>
      <c r="W82" s="15">
        <f t="shared" si="361"/>
        <v>907.18474000000003</v>
      </c>
      <c r="X82" s="15">
        <f t="shared" si="361"/>
        <v>907.18474000000003</v>
      </c>
      <c r="Y82" s="15">
        <f t="shared" ref="Y82:AB82" si="362">0.5*Y15</f>
        <v>1133.9809250000001</v>
      </c>
      <c r="Z82" s="15">
        <f t="shared" si="362"/>
        <v>1133.9809250000001</v>
      </c>
      <c r="AA82" s="15">
        <f t="shared" si="362"/>
        <v>1133.9809250000001</v>
      </c>
      <c r="AB82" s="15">
        <f t="shared" si="362"/>
        <v>1133.9809250000001</v>
      </c>
      <c r="AC82" s="15">
        <f t="shared" ref="AC82:AF82" si="363">0.5*AC15</f>
        <v>1360.77711</v>
      </c>
      <c r="AD82" s="15">
        <f t="shared" si="363"/>
        <v>1360.77711</v>
      </c>
      <c r="AE82" s="15">
        <f t="shared" si="363"/>
        <v>1360.77711</v>
      </c>
      <c r="AF82" s="15">
        <f t="shared" si="363"/>
        <v>1360.77711</v>
      </c>
      <c r="AG82" s="15">
        <f t="shared" ref="AG82:AJ82" si="364">0.5*AG15</f>
        <v>1587.5732950000001</v>
      </c>
      <c r="AH82" s="15">
        <f t="shared" si="364"/>
        <v>1587.5732950000001</v>
      </c>
      <c r="AI82" s="15">
        <f t="shared" si="364"/>
        <v>1587.5732950000001</v>
      </c>
      <c r="AJ82" s="15">
        <f t="shared" si="364"/>
        <v>1587.5732950000001</v>
      </c>
      <c r="AK82" s="10" t="s">
        <v>326</v>
      </c>
    </row>
    <row r="83" spans="1:37" x14ac:dyDescent="0.25">
      <c r="A83" s="95"/>
      <c r="B83" s="95" t="s">
        <v>294</v>
      </c>
      <c r="C83" s="11" t="s">
        <v>331</v>
      </c>
      <c r="D83" s="11" t="s">
        <v>106</v>
      </c>
      <c r="E83" s="15">
        <f t="shared" ref="E83:X83" si="365">SUM(E80:E82)</f>
        <v>1012.5184393774844</v>
      </c>
      <c r="F83" s="15">
        <f t="shared" si="365"/>
        <v>1019.4983693063944</v>
      </c>
      <c r="G83" s="15">
        <f t="shared" si="365"/>
        <v>1036.914206485299</v>
      </c>
      <c r="H83" s="15">
        <f t="shared" si="365"/>
        <v>1058.2067099061119</v>
      </c>
      <c r="I83" s="15">
        <f t="shared" ref="I83" si="366">SUM(I80:I82)</f>
        <v>1302.8960175572095</v>
      </c>
      <c r="J83" s="15">
        <f t="shared" ref="J83" si="367">SUM(J80:J82)</f>
        <v>1314.9471905752337</v>
      </c>
      <c r="K83" s="15">
        <f t="shared" ref="K83" si="368">SUM(K80:K82)</f>
        <v>1346.7580112936766</v>
      </c>
      <c r="L83" s="15">
        <f t="shared" ref="L83" si="369">SUM(L80:L82)</f>
        <v>1386.5049541480905</v>
      </c>
      <c r="M83" s="15">
        <f t="shared" ref="M83" si="370">SUM(M80:M82)</f>
        <v>1619.7233682823185</v>
      </c>
      <c r="N83" s="15">
        <f t="shared" ref="N83" si="371">SUM(N80:N82)</f>
        <v>1639.2153170227436</v>
      </c>
      <c r="O83" s="15">
        <f t="shared" ref="O83" si="372">SUM(O80:O82)</f>
        <v>1693.9910912148425</v>
      </c>
      <c r="P83" s="15">
        <f t="shared" ref="P83" si="373">SUM(P80:P82)</f>
        <v>1764.3329991434282</v>
      </c>
      <c r="Q83" s="15">
        <f t="shared" ref="Q83" si="374">SUM(Q80:Q82)</f>
        <v>1972.4370973638627</v>
      </c>
      <c r="R83" s="15">
        <f t="shared" ref="R83" si="375">SUM(R80:R82)</f>
        <v>2002.5476060290341</v>
      </c>
      <c r="S83" s="15">
        <f t="shared" ref="S83" si="376">SUM(S80:S82)</f>
        <v>2094.1023574482019</v>
      </c>
      <c r="T83" s="15">
        <f t="shared" ref="T83" si="377">SUM(T80:T82)</f>
        <v>2216.3100931148201</v>
      </c>
      <c r="U83" s="15">
        <f t="shared" si="365"/>
        <v>998.76672923357387</v>
      </c>
      <c r="V83" s="15">
        <f t="shared" si="365"/>
        <v>1004.720098150195</v>
      </c>
      <c r="W83" s="15">
        <f t="shared" si="365"/>
        <v>1019.7269281531129</v>
      </c>
      <c r="X83" s="15">
        <f t="shared" si="365"/>
        <v>1038.1235440731123</v>
      </c>
      <c r="Y83" s="15">
        <f t="shared" ref="Y83:AB83" si="378">SUM(Y80:Y82)</f>
        <v>1280.4227258038006</v>
      </c>
      <c r="Z83" s="15">
        <f t="shared" si="378"/>
        <v>1290.748671552444</v>
      </c>
      <c r="AA83" s="15">
        <f t="shared" si="378"/>
        <v>1318.4487328357131</v>
      </c>
      <c r="AB83" s="15">
        <f t="shared" si="378"/>
        <v>1353.2992474267835</v>
      </c>
      <c r="AC83" s="15">
        <f t="shared" ref="AC83:AF83" si="379">SUM(AC80:AC82)</f>
        <v>1585.7944101936223</v>
      </c>
      <c r="AD83" s="15">
        <f t="shared" si="379"/>
        <v>1602.7390048359903</v>
      </c>
      <c r="AE83" s="15">
        <f t="shared" si="379"/>
        <v>1651.4522635527985</v>
      </c>
      <c r="AF83" s="15">
        <f t="shared" si="379"/>
        <v>1714.9565654575267</v>
      </c>
      <c r="AG83" s="15">
        <f t="shared" ref="AG83:AJ83" si="380">SUM(AG80:AG82)</f>
        <v>1924.9027901391291</v>
      </c>
      <c r="AH83" s="15">
        <f t="shared" si="380"/>
        <v>1951.8183240722824</v>
      </c>
      <c r="AI83" s="15">
        <f t="shared" si="380"/>
        <v>2036.3939998668986</v>
      </c>
      <c r="AJ83" s="15">
        <f t="shared" si="380"/>
        <v>2153.0206643082388</v>
      </c>
      <c r="AK83" s="10" t="s">
        <v>330</v>
      </c>
    </row>
    <row r="84" spans="1:37" x14ac:dyDescent="0.25">
      <c r="A84" s="95"/>
      <c r="B84" s="95"/>
      <c r="C84" s="11" t="s">
        <v>332</v>
      </c>
      <c r="D84" s="11" t="s">
        <v>100</v>
      </c>
      <c r="E84" s="15">
        <f t="shared" ref="E84:X84" si="381">E83*CONVERT(1,"m","ft")</f>
        <v>3321.9108903460774</v>
      </c>
      <c r="F84" s="15">
        <f t="shared" si="381"/>
        <v>3344.8109229212414</v>
      </c>
      <c r="G84" s="15">
        <f t="shared" si="381"/>
        <v>3401.9494963428447</v>
      </c>
      <c r="H84" s="15">
        <f t="shared" si="381"/>
        <v>3471.8067910305508</v>
      </c>
      <c r="I84" s="15">
        <f t="shared" ref="I84:L84" si="382">I83*CONVERT(1,"m","ft")</f>
        <v>4274.5932334554118</v>
      </c>
      <c r="J84" s="15">
        <f t="shared" si="382"/>
        <v>4314.1312026746509</v>
      </c>
      <c r="K84" s="15">
        <f t="shared" si="382"/>
        <v>4418.4974123808288</v>
      </c>
      <c r="L84" s="15">
        <f t="shared" si="382"/>
        <v>4548.9007682023966</v>
      </c>
      <c r="M84" s="15">
        <f t="shared" ref="M84:P84" si="383">M83*CONVERT(1,"m","ft")</f>
        <v>5314.0530455456646</v>
      </c>
      <c r="N84" s="15">
        <f t="shared" si="383"/>
        <v>5378.0030086048018</v>
      </c>
      <c r="O84" s="15">
        <f t="shared" si="383"/>
        <v>5557.7135538544708</v>
      </c>
      <c r="P84" s="15">
        <f t="shared" si="383"/>
        <v>5788.4940916779142</v>
      </c>
      <c r="Q84" s="15">
        <f t="shared" ref="Q84:T84" si="384">Q83*CONVERT(1,"m","ft")</f>
        <v>6471.2503194352448</v>
      </c>
      <c r="R84" s="15">
        <f t="shared" si="384"/>
        <v>6570.0380775230778</v>
      </c>
      <c r="S84" s="15">
        <f t="shared" si="384"/>
        <v>6870.4145585570932</v>
      </c>
      <c r="T84" s="15">
        <f t="shared" si="384"/>
        <v>7271.3585732113525</v>
      </c>
      <c r="U84" s="15">
        <f t="shared" si="381"/>
        <v>3276.793731081279</v>
      </c>
      <c r="V84" s="15">
        <f t="shared" si="381"/>
        <v>3296.3257813326609</v>
      </c>
      <c r="W84" s="15">
        <f t="shared" si="381"/>
        <v>3345.5607879039139</v>
      </c>
      <c r="X84" s="15">
        <f t="shared" si="381"/>
        <v>3405.9171393474812</v>
      </c>
      <c r="Y84" s="15">
        <f t="shared" ref="Y84:AB84" si="385">Y83*CONVERT(1,"m","ft")</f>
        <v>4200.8619612985585</v>
      </c>
      <c r="Z84" s="15">
        <f t="shared" si="385"/>
        <v>4234.7397360644491</v>
      </c>
      <c r="AA84" s="15">
        <f t="shared" si="385"/>
        <v>4325.6192022169071</v>
      </c>
      <c r="AB84" s="15">
        <f t="shared" si="385"/>
        <v>4439.9581608490271</v>
      </c>
      <c r="AC84" s="15">
        <f t="shared" ref="AC84:AF84" si="386">AC83*CONVERT(1,"m","ft")</f>
        <v>5202.7375662520417</v>
      </c>
      <c r="AD84" s="15">
        <f t="shared" si="386"/>
        <v>5258.330068359548</v>
      </c>
      <c r="AE84" s="15">
        <f t="shared" si="386"/>
        <v>5418.1504709737483</v>
      </c>
      <c r="AF84" s="15">
        <f t="shared" si="386"/>
        <v>5626.497918167739</v>
      </c>
      <c r="AG84" s="15">
        <f t="shared" ref="AG84:AJ84" si="387">AG83*CONVERT(1,"m","ft")</f>
        <v>6315.297867910529</v>
      </c>
      <c r="AH84" s="15">
        <f t="shared" si="387"/>
        <v>6403.6034254339975</v>
      </c>
      <c r="AI84" s="15">
        <f t="shared" si="387"/>
        <v>6681.0826767286699</v>
      </c>
      <c r="AJ84" s="15">
        <f t="shared" si="387"/>
        <v>7063.7160902501273</v>
      </c>
      <c r="AK84" s="10"/>
    </row>
  </sheetData>
  <mergeCells count="32">
    <mergeCell ref="E1:H1"/>
    <mergeCell ref="U1:X1"/>
    <mergeCell ref="Y1:AB1"/>
    <mergeCell ref="AC1:AF1"/>
    <mergeCell ref="AG1:AJ1"/>
    <mergeCell ref="A50:A69"/>
    <mergeCell ref="A3:A11"/>
    <mergeCell ref="A12:A13"/>
    <mergeCell ref="A14:A19"/>
    <mergeCell ref="B14:B16"/>
    <mergeCell ref="B17:B19"/>
    <mergeCell ref="A20:A28"/>
    <mergeCell ref="B20:B21"/>
    <mergeCell ref="B22:B23"/>
    <mergeCell ref="B25:B26"/>
    <mergeCell ref="B27:B28"/>
    <mergeCell ref="A80:A84"/>
    <mergeCell ref="B83:B84"/>
    <mergeCell ref="I1:L1"/>
    <mergeCell ref="M1:P1"/>
    <mergeCell ref="Q1:T1"/>
    <mergeCell ref="A70:A73"/>
    <mergeCell ref="B70:B71"/>
    <mergeCell ref="B72:B73"/>
    <mergeCell ref="A76:A79"/>
    <mergeCell ref="B76:B77"/>
    <mergeCell ref="B78:B79"/>
    <mergeCell ref="A29:A49"/>
    <mergeCell ref="B29:B30"/>
    <mergeCell ref="B31:B32"/>
    <mergeCell ref="B33:B34"/>
    <mergeCell ref="B47:B48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DEE8-5640-4C7C-B5D5-D92C2A64BC96}">
  <dimension ref="A1:AE84"/>
  <sheetViews>
    <sheetView topLeftCell="A18" zoomScale="85" zoomScaleNormal="85" workbookViewId="0">
      <selection activeCell="E39" sqref="E39"/>
    </sheetView>
  </sheetViews>
  <sheetFormatPr defaultRowHeight="14.5" x14ac:dyDescent="0.25"/>
  <cols>
    <col min="1" max="1" width="19.08984375" style="5" bestFit="1" customWidth="1"/>
    <col min="2" max="2" width="30.453125" style="9" bestFit="1" customWidth="1"/>
    <col min="3" max="3" width="14.26953125" style="9" bestFit="1" customWidth="1"/>
    <col min="4" max="4" width="8.7265625" style="9"/>
    <col min="5" max="5" width="12.26953125" style="9" bestFit="1" customWidth="1"/>
    <col min="6" max="6" width="29.08984375" customWidth="1"/>
    <col min="15" max="15" width="12.36328125" bestFit="1" customWidth="1"/>
  </cols>
  <sheetData>
    <row r="1" spans="1:31" ht="15" x14ac:dyDescent="0.35">
      <c r="E1"/>
      <c r="AE1" s="121">
        <f>MAX(AE4:AE100)</f>
        <v>13.877417266084855</v>
      </c>
    </row>
    <row r="2" spans="1:31" ht="43.5" x14ac:dyDescent="0.35">
      <c r="A2" s="10"/>
      <c r="B2" s="11"/>
      <c r="C2" s="11"/>
      <c r="D2" s="11"/>
      <c r="E2" s="68" t="s">
        <v>244</v>
      </c>
      <c r="F2" s="121">
        <f>MAX(AE4:AE100)</f>
        <v>13.877417266084855</v>
      </c>
      <c r="G2" t="s">
        <v>411</v>
      </c>
      <c r="H2" t="s">
        <v>411</v>
      </c>
      <c r="I2" t="s">
        <v>412</v>
      </c>
      <c r="J2" t="s">
        <v>431</v>
      </c>
      <c r="K2" t="s">
        <v>413</v>
      </c>
      <c r="L2" t="s">
        <v>414</v>
      </c>
      <c r="M2" t="s">
        <v>415</v>
      </c>
      <c r="N2" t="s">
        <v>432</v>
      </c>
      <c r="O2" t="s">
        <v>416</v>
      </c>
      <c r="P2" t="s">
        <v>417</v>
      </c>
      <c r="Q2" t="s">
        <v>418</v>
      </c>
      <c r="R2" t="s">
        <v>419</v>
      </c>
      <c r="S2" t="s">
        <v>420</v>
      </c>
      <c r="T2" t="s">
        <v>423</v>
      </c>
      <c r="U2" t="s">
        <v>421</v>
      </c>
      <c r="V2" t="s">
        <v>422</v>
      </c>
      <c r="W2" t="s">
        <v>424</v>
      </c>
      <c r="X2" t="s">
        <v>417</v>
      </c>
      <c r="Y2" t="s">
        <v>418</v>
      </c>
      <c r="Z2" t="s">
        <v>425</v>
      </c>
      <c r="AA2" t="s">
        <v>426</v>
      </c>
      <c r="AB2" t="s">
        <v>427</v>
      </c>
      <c r="AC2" t="s">
        <v>428</v>
      </c>
      <c r="AD2" t="s">
        <v>429</v>
      </c>
      <c r="AE2" t="s">
        <v>324</v>
      </c>
    </row>
    <row r="3" spans="1:31" x14ac:dyDescent="0.25">
      <c r="A3" s="87"/>
      <c r="B3" s="11" t="s">
        <v>149</v>
      </c>
      <c r="C3" s="11" t="s">
        <v>118</v>
      </c>
      <c r="D3" s="11" t="s">
        <v>108</v>
      </c>
      <c r="E3" s="11">
        <v>9.8066499999999994</v>
      </c>
      <c r="G3" s="118" t="s">
        <v>105</v>
      </c>
      <c r="H3" s="118" t="s">
        <v>19</v>
      </c>
    </row>
    <row r="4" spans="1:31" x14ac:dyDescent="0.25">
      <c r="A4" s="88"/>
      <c r="B4" s="76" t="s">
        <v>373</v>
      </c>
      <c r="C4" s="11" t="s">
        <v>372</v>
      </c>
      <c r="D4" s="11" t="s">
        <v>100</v>
      </c>
      <c r="E4" s="11">
        <v>0</v>
      </c>
      <c r="G4" s="119">
        <f>E27</f>
        <v>54.221146998325224</v>
      </c>
      <c r="H4">
        <f>G4*CONVERT(1,"kn","m/s")</f>
        <v>27.893767844693979</v>
      </c>
      <c r="I4">
        <f>0.5*rho_kgpm3*H4^2</f>
        <v>476.56315635229373</v>
      </c>
      <c r="J4" s="120">
        <f>$E$19</f>
        <v>22241.108076302498</v>
      </c>
      <c r="K4">
        <f>I4*CL*$E$30</f>
        <v>26911.740772326022</v>
      </c>
      <c r="L4">
        <f>I4*CD*$E$30</f>
        <v>2740.4404558206843</v>
      </c>
      <c r="M4">
        <f>T_rev_N</f>
        <v>1147.6411767372092</v>
      </c>
      <c r="N4">
        <f>2100*CONVERT(1,"lbf","N")</f>
        <v>9341.2653920470511</v>
      </c>
      <c r="O4" s="120">
        <f>(L4+M4+(mu_b*(1-0.1)+mu_u*0.1)*($E$19-K4))/(1+0.24*(mu_b-mu_u))</f>
        <v>2684.9581225882471</v>
      </c>
      <c r="P4">
        <f>MAX(0.1*(J4-K4)+0.24*O4,0)</f>
        <v>177.32667981882685</v>
      </c>
      <c r="Q4">
        <f>MAX(0.9*(J4-K4)-0.24*O4,0)</f>
        <v>0</v>
      </c>
      <c r="R4">
        <f>P4+Q4</f>
        <v>177.32667981882685</v>
      </c>
      <c r="S4" s="120">
        <f>J4-K4</f>
        <v>-4670.6326960235237</v>
      </c>
      <c r="T4">
        <f>mu_b*Q4</f>
        <v>0</v>
      </c>
      <c r="U4" t="str">
        <f>IF(Q4&lt;=M4,"Friction","Brake Limit")</f>
        <v>Friction</v>
      </c>
      <c r="V4">
        <f>(L4+M4+N4+mu_u*0.1*(J4-K4))/(1-mu_u*0.24)</f>
        <v>13366.390547697192</v>
      </c>
      <c r="W4">
        <f>IF(T4&lt;N4,O4,V4)</f>
        <v>2684.9581225882471</v>
      </c>
      <c r="X4">
        <f>MAX(0.1*(J4-K4)+0.24*W4,0)</f>
        <v>177.32667981882685</v>
      </c>
      <c r="Y4">
        <f>MAX(0.9*(J4-K4)-0.24*W4,0)</f>
        <v>0</v>
      </c>
      <c r="Z4">
        <f>MIN(mu_b*Q4,N4)</f>
        <v>0</v>
      </c>
      <c r="AA4">
        <f>mu_u*X4</f>
        <v>8.8663339909413423</v>
      </c>
      <c r="AB4">
        <f>W4-(L4+M4+Z4+AA4)</f>
        <v>-1211.9898439605877</v>
      </c>
      <c r="AC4">
        <f>g_mps2/J4*W4</f>
        <v>1.1838638831549337</v>
      </c>
      <c r="AD4">
        <v>0</v>
      </c>
      <c r="AE4" s="119">
        <v>0</v>
      </c>
    </row>
    <row r="5" spans="1:31" x14ac:dyDescent="0.25">
      <c r="A5" s="88"/>
      <c r="B5" s="76" t="s">
        <v>370</v>
      </c>
      <c r="C5" s="11" t="s">
        <v>371</v>
      </c>
      <c r="D5" s="11" t="s">
        <v>119</v>
      </c>
      <c r="E5" s="14">
        <v>0</v>
      </c>
      <c r="G5">
        <v>53</v>
      </c>
      <c r="H5">
        <f t="shared" ref="H5:H68" si="0">G5*CONVERT(1,"kn","m/s")</f>
        <v>27.265555555555558</v>
      </c>
      <c r="I5">
        <f>0.5*rho_kgpm3*H5^2</f>
        <v>455.33895008565867</v>
      </c>
      <c r="J5" s="120">
        <f t="shared" ref="J5:J68" si="1">$E$19</f>
        <v>22241.108076302498</v>
      </c>
      <c r="K5">
        <f>I5*CL*$E$30</f>
        <v>25713.20007623448</v>
      </c>
      <c r="L5">
        <f>I5*CD*$E$30</f>
        <v>2618.3922598565532</v>
      </c>
      <c r="M5">
        <f>T_rev_N</f>
        <v>1147.6411767372092</v>
      </c>
      <c r="N5">
        <f t="shared" ref="N5:N68" si="2">2100*CONVERT(1,"lbf","N")</f>
        <v>9341.2653920470511</v>
      </c>
      <c r="O5" s="120">
        <f>(L5+M5+(mu_b*(1-0.1)+mu_u*0.1)*($E$19-K5))/(1+0.24*(mu_b-mu_u))</f>
        <v>2831.5384318792048</v>
      </c>
      <c r="P5">
        <f t="shared" ref="P5:P19" si="3">MAX(0.1*(J5-K5)+0.24*O5,0)</f>
        <v>332.36002365781098</v>
      </c>
      <c r="Q5">
        <f t="shared" ref="Q5:Q19" si="4">MAX(0.9*(J5-K5)-0.24*O5,0)</f>
        <v>0</v>
      </c>
      <c r="R5">
        <f t="shared" ref="R5:R19" si="5">P5+Q5</f>
        <v>332.36002365781098</v>
      </c>
      <c r="S5" s="120">
        <f t="shared" ref="S5:S19" si="6">J5-K5</f>
        <v>-3472.0919999319813</v>
      </c>
      <c r="T5">
        <f>mu_b*Q5</f>
        <v>0</v>
      </c>
      <c r="U5" t="str">
        <f t="shared" ref="U5:U19" si="7">IF(Q5&lt;=M5,"Friction","Brake Limit")</f>
        <v>Friction</v>
      </c>
      <c r="V5">
        <f>(L5+M5+N5+mu_u*0.1*(J5-K5))/(1-mu_u*0.24)</f>
        <v>13248.925474333153</v>
      </c>
      <c r="W5">
        <f t="shared" ref="W5:W19" si="8">IF(T5&lt;N5,O5,V5)</f>
        <v>2831.5384318792048</v>
      </c>
      <c r="X5">
        <f t="shared" ref="X5:X19" si="9">MAX(0.1*(J5-K5)+0.24*W5,0)</f>
        <v>332.36002365781098</v>
      </c>
      <c r="Y5">
        <f t="shared" ref="Y5:Y19" si="10">MAX(0.9*(J5-K5)-0.24*W5,0)</f>
        <v>0</v>
      </c>
      <c r="Z5">
        <f>MIN(mu_b*Q5,N5)</f>
        <v>0</v>
      </c>
      <c r="AA5">
        <f>mu_u*X5</f>
        <v>16.618001182890549</v>
      </c>
      <c r="AB5">
        <f t="shared" ref="AB5:AB19" si="11">W5-(L5+M5+Z5+AA5)</f>
        <v>-951.11300589744815</v>
      </c>
      <c r="AC5">
        <f>g_mps2/J5*W5</f>
        <v>1.2484947363110208</v>
      </c>
      <c r="AD5">
        <f>-(H5^2-H4^2)/(2*AC5)</f>
        <v>13.877417266084855</v>
      </c>
      <c r="AE5" s="119">
        <f>AE4+AD5</f>
        <v>13.877417266084855</v>
      </c>
    </row>
    <row r="6" spans="1:31" x14ac:dyDescent="0.25">
      <c r="A6" s="88"/>
      <c r="B6" s="11" t="s">
        <v>373</v>
      </c>
      <c r="C6" s="11" t="s">
        <v>374</v>
      </c>
      <c r="D6" s="11" t="s">
        <v>106</v>
      </c>
      <c r="E6" s="14">
        <f>E4*CONVERT(1,"ft","m")</f>
        <v>0</v>
      </c>
      <c r="G6">
        <v>53</v>
      </c>
      <c r="H6">
        <f t="shared" si="0"/>
        <v>27.265555555555558</v>
      </c>
      <c r="I6">
        <f>0.5*rho_kgpm3*H6^2</f>
        <v>455.33895008565867</v>
      </c>
      <c r="J6" s="120">
        <f t="shared" si="1"/>
        <v>22241.108076302498</v>
      </c>
      <c r="K6">
        <f>I6*CL*$E$30</f>
        <v>25713.20007623448</v>
      </c>
      <c r="L6">
        <f>I6*CD*$E$30</f>
        <v>2618.3922598565532</v>
      </c>
      <c r="M6">
        <f>T_rev_N</f>
        <v>1147.6411767372092</v>
      </c>
      <c r="N6">
        <f t="shared" si="2"/>
        <v>9341.2653920470511</v>
      </c>
      <c r="O6" s="120">
        <f>(L6+M6+(mu_b*(1-0.1)+mu_u*0.1)*($E$19-K6))/(1+0.24*(mu_b-mu_u))</f>
        <v>2831.5384318792048</v>
      </c>
      <c r="P6">
        <f t="shared" si="3"/>
        <v>332.36002365781098</v>
      </c>
      <c r="Q6">
        <f t="shared" si="4"/>
        <v>0</v>
      </c>
      <c r="R6">
        <f t="shared" si="5"/>
        <v>332.36002365781098</v>
      </c>
      <c r="S6" s="120">
        <f t="shared" si="6"/>
        <v>-3472.0919999319813</v>
      </c>
      <c r="T6">
        <f>mu_b*Q6</f>
        <v>0</v>
      </c>
      <c r="U6" t="str">
        <f t="shared" si="7"/>
        <v>Friction</v>
      </c>
      <c r="V6">
        <f>(L6+M6+N6+mu_u*0.1*(J6-K6))/(1-mu_u*0.24)</f>
        <v>13248.925474333153</v>
      </c>
      <c r="W6">
        <f t="shared" si="8"/>
        <v>2831.5384318792048</v>
      </c>
      <c r="X6">
        <f t="shared" si="9"/>
        <v>332.36002365781098</v>
      </c>
      <c r="Y6">
        <f t="shared" si="10"/>
        <v>0</v>
      </c>
      <c r="Z6">
        <f>MIN(mu_b*Q6,N6)</f>
        <v>0</v>
      </c>
      <c r="AA6">
        <f>mu_u*X6</f>
        <v>16.618001182890549</v>
      </c>
      <c r="AB6">
        <f t="shared" si="11"/>
        <v>-951.11300589744815</v>
      </c>
      <c r="AC6">
        <f>g_mps2/J6*W6</f>
        <v>1.2484947363110208</v>
      </c>
      <c r="AD6">
        <f t="shared" ref="AD6:AD58" si="12">-(H6^2-H5^2)/(2*AC6)</f>
        <v>0</v>
      </c>
      <c r="AE6" s="119">
        <f t="shared" ref="AE6:AE19" si="13">AE5+AD6</f>
        <v>13.877417266084855</v>
      </c>
    </row>
    <row r="7" spans="1:31" x14ac:dyDescent="0.25">
      <c r="A7" s="88"/>
      <c r="B7" s="11" t="s">
        <v>375</v>
      </c>
      <c r="C7" s="11" t="s">
        <v>382</v>
      </c>
      <c r="D7" s="11" t="s">
        <v>172</v>
      </c>
      <c r="E7" s="16">
        <f>288.15-0.00649*E6</f>
        <v>288.14999999999998</v>
      </c>
      <c r="G7">
        <v>53</v>
      </c>
      <c r="H7">
        <f t="shared" si="0"/>
        <v>27.265555555555558</v>
      </c>
      <c r="I7">
        <f>0.5*rho_kgpm3*H7^2</f>
        <v>455.33895008565867</v>
      </c>
      <c r="J7" s="120">
        <f t="shared" si="1"/>
        <v>22241.108076302498</v>
      </c>
      <c r="K7">
        <f>I7*CL*$E$30</f>
        <v>25713.20007623448</v>
      </c>
      <c r="L7">
        <f>I7*CD*$E$30</f>
        <v>2618.3922598565532</v>
      </c>
      <c r="M7">
        <f>T_rev_N</f>
        <v>1147.6411767372092</v>
      </c>
      <c r="N7">
        <f t="shared" si="2"/>
        <v>9341.2653920470511</v>
      </c>
      <c r="O7" s="120">
        <f>(L7+M7+(mu_b*(1-0.1)+mu_u*0.1)*($E$19-K7))/(1+0.24*(mu_b-mu_u))</f>
        <v>2831.5384318792048</v>
      </c>
      <c r="P7">
        <f t="shared" si="3"/>
        <v>332.36002365781098</v>
      </c>
      <c r="Q7">
        <f t="shared" si="4"/>
        <v>0</v>
      </c>
      <c r="R7">
        <f t="shared" si="5"/>
        <v>332.36002365781098</v>
      </c>
      <c r="S7" s="120">
        <f t="shared" si="6"/>
        <v>-3472.0919999319813</v>
      </c>
      <c r="T7">
        <f>mu_b*Q7</f>
        <v>0</v>
      </c>
      <c r="U7" t="str">
        <f t="shared" si="7"/>
        <v>Friction</v>
      </c>
      <c r="V7">
        <f>(L7+M7+N7+mu_u*0.1*(J7-K7))/(1-mu_u*0.24)</f>
        <v>13248.925474333153</v>
      </c>
      <c r="W7">
        <f t="shared" si="8"/>
        <v>2831.5384318792048</v>
      </c>
      <c r="X7">
        <f t="shared" si="9"/>
        <v>332.36002365781098</v>
      </c>
      <c r="Y7">
        <f t="shared" si="10"/>
        <v>0</v>
      </c>
      <c r="Z7">
        <f>MIN(mu_b*Q7,N7)</f>
        <v>0</v>
      </c>
      <c r="AA7">
        <f>mu_u*X7</f>
        <v>16.618001182890549</v>
      </c>
      <c r="AB7">
        <f t="shared" si="11"/>
        <v>-951.11300589744815</v>
      </c>
      <c r="AC7">
        <f>g_mps2/J7*W7</f>
        <v>1.2484947363110208</v>
      </c>
      <c r="AD7">
        <f t="shared" si="12"/>
        <v>0</v>
      </c>
      <c r="AE7" s="119">
        <f t="shared" si="13"/>
        <v>13.877417266084855</v>
      </c>
    </row>
    <row r="8" spans="1:31" x14ac:dyDescent="0.25">
      <c r="A8" s="88"/>
      <c r="B8" s="11" t="s">
        <v>376</v>
      </c>
      <c r="C8" s="11" t="s">
        <v>381</v>
      </c>
      <c r="D8" s="11" t="s">
        <v>172</v>
      </c>
      <c r="E8" s="16">
        <f>E7+E5</f>
        <v>288.14999999999998</v>
      </c>
      <c r="G8">
        <v>53</v>
      </c>
      <c r="H8">
        <f t="shared" si="0"/>
        <v>27.265555555555558</v>
      </c>
      <c r="I8">
        <f>0.5*rho_kgpm3*H8^2</f>
        <v>455.33895008565867</v>
      </c>
      <c r="J8" s="120">
        <f t="shared" si="1"/>
        <v>22241.108076302498</v>
      </c>
      <c r="K8">
        <f>I8*CL*$E$30</f>
        <v>25713.20007623448</v>
      </c>
      <c r="L8">
        <f>I8*CD*$E$30</f>
        <v>2618.3922598565532</v>
      </c>
      <c r="M8">
        <f>T_rev_N</f>
        <v>1147.6411767372092</v>
      </c>
      <c r="N8">
        <f t="shared" si="2"/>
        <v>9341.2653920470511</v>
      </c>
      <c r="O8" s="120">
        <f>(L8+M8+(mu_b*(1-0.1)+mu_u*0.1)*($E$19-K8))/(1+0.24*(mu_b-mu_u))</f>
        <v>2831.5384318792048</v>
      </c>
      <c r="P8">
        <f t="shared" si="3"/>
        <v>332.36002365781098</v>
      </c>
      <c r="Q8">
        <f t="shared" si="4"/>
        <v>0</v>
      </c>
      <c r="R8">
        <f t="shared" si="5"/>
        <v>332.36002365781098</v>
      </c>
      <c r="S8" s="120">
        <f t="shared" si="6"/>
        <v>-3472.0919999319813</v>
      </c>
      <c r="T8">
        <f>mu_b*Q8</f>
        <v>0</v>
      </c>
      <c r="U8" t="str">
        <f t="shared" si="7"/>
        <v>Friction</v>
      </c>
      <c r="V8">
        <f>(L8+M8+N8+mu_u*0.1*(J8-K8))/(1-mu_u*0.24)</f>
        <v>13248.925474333153</v>
      </c>
      <c r="W8">
        <f t="shared" si="8"/>
        <v>2831.5384318792048</v>
      </c>
      <c r="X8">
        <f t="shared" si="9"/>
        <v>332.36002365781098</v>
      </c>
      <c r="Y8">
        <f t="shared" si="10"/>
        <v>0</v>
      </c>
      <c r="Z8">
        <f>MIN(mu_b*Q8,N8)</f>
        <v>0</v>
      </c>
      <c r="AA8">
        <f>mu_u*X8</f>
        <v>16.618001182890549</v>
      </c>
      <c r="AB8">
        <f t="shared" si="11"/>
        <v>-951.11300589744815</v>
      </c>
      <c r="AC8">
        <f>g_mps2/J8*W8</f>
        <v>1.2484947363110208</v>
      </c>
      <c r="AD8">
        <f t="shared" si="12"/>
        <v>0</v>
      </c>
      <c r="AE8" s="119">
        <f t="shared" si="13"/>
        <v>13.877417266084855</v>
      </c>
    </row>
    <row r="9" spans="1:31" x14ac:dyDescent="0.25">
      <c r="A9" s="88"/>
      <c r="B9" s="11" t="s">
        <v>376</v>
      </c>
      <c r="C9" s="11" t="s">
        <v>377</v>
      </c>
      <c r="D9" s="11" t="s">
        <v>119</v>
      </c>
      <c r="E9" s="14">
        <f>E8-273.15</f>
        <v>15</v>
      </c>
      <c r="G9">
        <v>53</v>
      </c>
      <c r="H9">
        <f t="shared" si="0"/>
        <v>27.265555555555558</v>
      </c>
      <c r="I9">
        <f>0.5*rho_kgpm3*H9^2</f>
        <v>455.33895008565867</v>
      </c>
      <c r="J9" s="120">
        <f t="shared" si="1"/>
        <v>22241.108076302498</v>
      </c>
      <c r="K9">
        <f>I9*CL*$E$30</f>
        <v>25713.20007623448</v>
      </c>
      <c r="L9">
        <f>I9*CD*$E$30</f>
        <v>2618.3922598565532</v>
      </c>
      <c r="M9">
        <f>T_rev_N</f>
        <v>1147.6411767372092</v>
      </c>
      <c r="N9">
        <f t="shared" si="2"/>
        <v>9341.2653920470511</v>
      </c>
      <c r="O9" s="120">
        <f>(L9+M9+(mu_b*(1-0.1)+mu_u*0.1)*($E$19-K9))/(1+0.24*(mu_b-mu_u))</f>
        <v>2831.5384318792048</v>
      </c>
      <c r="P9">
        <f t="shared" si="3"/>
        <v>332.36002365781098</v>
      </c>
      <c r="Q9">
        <f t="shared" si="4"/>
        <v>0</v>
      </c>
      <c r="R9">
        <f t="shared" si="5"/>
        <v>332.36002365781098</v>
      </c>
      <c r="S9" s="120">
        <f t="shared" si="6"/>
        <v>-3472.0919999319813</v>
      </c>
      <c r="T9">
        <f>mu_b*Q9</f>
        <v>0</v>
      </c>
      <c r="U9" t="str">
        <f t="shared" si="7"/>
        <v>Friction</v>
      </c>
      <c r="V9">
        <f>(L9+M9+N9+mu_u*0.1*(J9-K9))/(1-mu_u*0.24)</f>
        <v>13248.925474333153</v>
      </c>
      <c r="W9">
        <f t="shared" si="8"/>
        <v>2831.5384318792048</v>
      </c>
      <c r="X9">
        <f t="shared" si="9"/>
        <v>332.36002365781098</v>
      </c>
      <c r="Y9">
        <f t="shared" si="10"/>
        <v>0</v>
      </c>
      <c r="Z9">
        <f>MIN(mu_b*Q9,N9)</f>
        <v>0</v>
      </c>
      <c r="AA9">
        <f>mu_u*X9</f>
        <v>16.618001182890549</v>
      </c>
      <c r="AB9">
        <f t="shared" si="11"/>
        <v>-951.11300589744815</v>
      </c>
      <c r="AC9">
        <f>g_mps2/J9*W9</f>
        <v>1.2484947363110208</v>
      </c>
      <c r="AD9">
        <f t="shared" si="12"/>
        <v>0</v>
      </c>
      <c r="AE9" s="119">
        <f t="shared" si="13"/>
        <v>13.877417266084855</v>
      </c>
    </row>
    <row r="10" spans="1:31" x14ac:dyDescent="0.25">
      <c r="A10" s="88"/>
      <c r="B10" s="11" t="s">
        <v>378</v>
      </c>
      <c r="C10" s="11" t="s">
        <v>380</v>
      </c>
      <c r="D10" s="11" t="s">
        <v>379</v>
      </c>
      <c r="E10" s="15">
        <f>101325*(E7/288.15)^(9.80665/(287.05287*0.0065))</f>
        <v>101325</v>
      </c>
      <c r="G10">
        <v>53</v>
      </c>
      <c r="H10">
        <f t="shared" si="0"/>
        <v>27.265555555555558</v>
      </c>
      <c r="I10">
        <f>0.5*rho_kgpm3*H10^2</f>
        <v>455.33895008565867</v>
      </c>
      <c r="J10" s="120">
        <f t="shared" si="1"/>
        <v>22241.108076302498</v>
      </c>
      <c r="K10">
        <f>I10*CL*$E$30</f>
        <v>25713.20007623448</v>
      </c>
      <c r="L10">
        <f>I10*CD*$E$30</f>
        <v>2618.3922598565532</v>
      </c>
      <c r="M10">
        <f>T_rev_N</f>
        <v>1147.6411767372092</v>
      </c>
      <c r="N10">
        <f t="shared" si="2"/>
        <v>9341.2653920470511</v>
      </c>
      <c r="O10" s="120">
        <f>(L10+M10+(mu_b*(1-0.1)+mu_u*0.1)*($E$19-K10))/(1+0.24*(mu_b-mu_u))</f>
        <v>2831.5384318792048</v>
      </c>
      <c r="P10">
        <f t="shared" si="3"/>
        <v>332.36002365781098</v>
      </c>
      <c r="Q10">
        <f t="shared" si="4"/>
        <v>0</v>
      </c>
      <c r="R10">
        <f t="shared" si="5"/>
        <v>332.36002365781098</v>
      </c>
      <c r="S10" s="120">
        <f t="shared" si="6"/>
        <v>-3472.0919999319813</v>
      </c>
      <c r="T10">
        <f>mu_b*Q10</f>
        <v>0</v>
      </c>
      <c r="U10" t="str">
        <f t="shared" si="7"/>
        <v>Friction</v>
      </c>
      <c r="V10">
        <f>(L10+M10+N10+mu_u*0.1*(J10-K10))/(1-mu_u*0.24)</f>
        <v>13248.925474333153</v>
      </c>
      <c r="W10">
        <f t="shared" si="8"/>
        <v>2831.5384318792048</v>
      </c>
      <c r="X10">
        <f t="shared" si="9"/>
        <v>332.36002365781098</v>
      </c>
      <c r="Y10">
        <f t="shared" si="10"/>
        <v>0</v>
      </c>
      <c r="Z10">
        <f>MIN(mu_b*Q10,N10)</f>
        <v>0</v>
      </c>
      <c r="AA10">
        <f>mu_u*X10</f>
        <v>16.618001182890549</v>
      </c>
      <c r="AB10">
        <f t="shared" si="11"/>
        <v>-951.11300589744815</v>
      </c>
      <c r="AC10">
        <f>g_mps2/J10*W10</f>
        <v>1.2484947363110208</v>
      </c>
      <c r="AD10">
        <f t="shared" si="12"/>
        <v>0</v>
      </c>
      <c r="AE10" s="119">
        <f t="shared" si="13"/>
        <v>13.877417266084855</v>
      </c>
    </row>
    <row r="11" spans="1:31" x14ac:dyDescent="0.25">
      <c r="A11" s="89"/>
      <c r="B11" s="11" t="s">
        <v>151</v>
      </c>
      <c r="C11" s="11" t="s">
        <v>117</v>
      </c>
      <c r="D11" s="11" t="s">
        <v>110</v>
      </c>
      <c r="E11" s="17">
        <f>E10/(287.05287*E8)</f>
        <v>1.2250000181242879</v>
      </c>
      <c r="G11">
        <v>53</v>
      </c>
      <c r="H11">
        <f t="shared" si="0"/>
        <v>27.265555555555558</v>
      </c>
      <c r="I11">
        <f>0.5*rho_kgpm3*H11^2</f>
        <v>455.33895008565867</v>
      </c>
      <c r="J11" s="120">
        <f t="shared" si="1"/>
        <v>22241.108076302498</v>
      </c>
      <c r="K11">
        <f>I11*CL*$E$30</f>
        <v>25713.20007623448</v>
      </c>
      <c r="L11">
        <f>I11*CD*$E$30</f>
        <v>2618.3922598565532</v>
      </c>
      <c r="M11">
        <f>T_rev_N</f>
        <v>1147.6411767372092</v>
      </c>
      <c r="N11">
        <f t="shared" si="2"/>
        <v>9341.2653920470511</v>
      </c>
      <c r="O11" s="120">
        <f>(L11+M11+(mu_b*(1-0.1)+mu_u*0.1)*($E$19-K11))/(1+0.24*(mu_b-mu_u))</f>
        <v>2831.5384318792048</v>
      </c>
      <c r="P11">
        <f t="shared" si="3"/>
        <v>332.36002365781098</v>
      </c>
      <c r="Q11">
        <f t="shared" si="4"/>
        <v>0</v>
      </c>
      <c r="R11">
        <f t="shared" si="5"/>
        <v>332.36002365781098</v>
      </c>
      <c r="S11" s="120">
        <f t="shared" si="6"/>
        <v>-3472.0919999319813</v>
      </c>
      <c r="T11">
        <f>mu_b*Q11</f>
        <v>0</v>
      </c>
      <c r="U11" t="str">
        <f t="shared" si="7"/>
        <v>Friction</v>
      </c>
      <c r="V11">
        <f>(L11+M11+N11+mu_u*0.1*(J11-K11))/(1-mu_u*0.24)</f>
        <v>13248.925474333153</v>
      </c>
      <c r="W11">
        <f t="shared" si="8"/>
        <v>2831.5384318792048</v>
      </c>
      <c r="X11">
        <f t="shared" si="9"/>
        <v>332.36002365781098</v>
      </c>
      <c r="Y11">
        <f t="shared" si="10"/>
        <v>0</v>
      </c>
      <c r="Z11">
        <f>MIN(mu_b*Q11,N11)</f>
        <v>0</v>
      </c>
      <c r="AA11">
        <f>mu_u*X11</f>
        <v>16.618001182890549</v>
      </c>
      <c r="AB11">
        <f t="shared" si="11"/>
        <v>-951.11300589744815</v>
      </c>
      <c r="AC11">
        <f>g_mps2/J11*W11</f>
        <v>1.2484947363110208</v>
      </c>
      <c r="AD11">
        <f t="shared" si="12"/>
        <v>0</v>
      </c>
      <c r="AE11" s="119">
        <f t="shared" si="13"/>
        <v>13.877417266084855</v>
      </c>
    </row>
    <row r="12" spans="1:31" ht="130.5" x14ac:dyDescent="0.25">
      <c r="A12" s="87" t="s">
        <v>150</v>
      </c>
      <c r="B12" s="11" t="s">
        <v>240</v>
      </c>
      <c r="C12" s="11" t="s">
        <v>242</v>
      </c>
      <c r="D12" s="11"/>
      <c r="E12" s="17">
        <v>0.05</v>
      </c>
      <c r="F12" s="85" t="s">
        <v>358</v>
      </c>
      <c r="G12">
        <v>53</v>
      </c>
      <c r="H12">
        <f t="shared" si="0"/>
        <v>27.265555555555558</v>
      </c>
      <c r="I12">
        <f>0.5*rho_kgpm3*H12^2</f>
        <v>455.33895008565867</v>
      </c>
      <c r="J12" s="120">
        <f t="shared" si="1"/>
        <v>22241.108076302498</v>
      </c>
      <c r="K12">
        <f>I12*CL*$E$30</f>
        <v>25713.20007623448</v>
      </c>
      <c r="L12">
        <f>I12*CD*$E$30</f>
        <v>2618.3922598565532</v>
      </c>
      <c r="M12">
        <f>T_rev_N</f>
        <v>1147.6411767372092</v>
      </c>
      <c r="N12">
        <f t="shared" si="2"/>
        <v>9341.2653920470511</v>
      </c>
      <c r="O12" s="120">
        <f>(L12+M12+(mu_b*(1-0.1)+mu_u*0.1)*($E$19-K12))/(1+0.24*(mu_b-mu_u))</f>
        <v>2831.5384318792048</v>
      </c>
      <c r="P12">
        <f t="shared" si="3"/>
        <v>332.36002365781098</v>
      </c>
      <c r="Q12">
        <f t="shared" si="4"/>
        <v>0</v>
      </c>
      <c r="R12">
        <f t="shared" si="5"/>
        <v>332.36002365781098</v>
      </c>
      <c r="S12" s="120">
        <f t="shared" si="6"/>
        <v>-3472.0919999319813</v>
      </c>
      <c r="T12">
        <f>mu_b*Q12</f>
        <v>0</v>
      </c>
      <c r="U12" t="str">
        <f t="shared" si="7"/>
        <v>Friction</v>
      </c>
      <c r="V12">
        <f>(L12+M12+N12+mu_u*0.1*(J12-K12))/(1-mu_u*0.24)</f>
        <v>13248.925474333153</v>
      </c>
      <c r="W12">
        <f t="shared" si="8"/>
        <v>2831.5384318792048</v>
      </c>
      <c r="X12">
        <f t="shared" si="9"/>
        <v>332.36002365781098</v>
      </c>
      <c r="Y12">
        <f t="shared" si="10"/>
        <v>0</v>
      </c>
      <c r="Z12">
        <f>MIN(mu_b*Q12,N12)</f>
        <v>0</v>
      </c>
      <c r="AA12">
        <f>mu_u*X12</f>
        <v>16.618001182890549</v>
      </c>
      <c r="AB12">
        <f t="shared" si="11"/>
        <v>-951.11300589744815</v>
      </c>
      <c r="AC12">
        <f>g_mps2/J12*W12</f>
        <v>1.2484947363110208</v>
      </c>
      <c r="AD12">
        <f t="shared" si="12"/>
        <v>0</v>
      </c>
      <c r="AE12" s="119">
        <f t="shared" si="13"/>
        <v>13.877417266084855</v>
      </c>
    </row>
    <row r="13" spans="1:31" ht="101.5" x14ac:dyDescent="0.25">
      <c r="A13" s="88"/>
      <c r="B13" s="11" t="s">
        <v>241</v>
      </c>
      <c r="C13" s="11" t="s">
        <v>243</v>
      </c>
      <c r="D13" s="11"/>
      <c r="E13" s="17">
        <v>0.25</v>
      </c>
      <c r="F13" s="85" t="s">
        <v>359</v>
      </c>
      <c r="G13">
        <v>53</v>
      </c>
      <c r="H13">
        <f t="shared" si="0"/>
        <v>27.265555555555558</v>
      </c>
      <c r="I13">
        <f>0.5*rho_kgpm3*H13^2</f>
        <v>455.33895008565867</v>
      </c>
      <c r="J13" s="120">
        <f t="shared" si="1"/>
        <v>22241.108076302498</v>
      </c>
      <c r="K13">
        <f>I13*CL*$E$30</f>
        <v>25713.20007623448</v>
      </c>
      <c r="L13">
        <f>I13*CD*$E$30</f>
        <v>2618.3922598565532</v>
      </c>
      <c r="M13">
        <f>T_rev_N</f>
        <v>1147.6411767372092</v>
      </c>
      <c r="N13">
        <f t="shared" si="2"/>
        <v>9341.2653920470511</v>
      </c>
      <c r="O13" s="120">
        <f>(L13+M13+(mu_b*(1-0.1)+mu_u*0.1)*($E$19-K13))/(1+0.24*(mu_b-mu_u))</f>
        <v>2831.5384318792048</v>
      </c>
      <c r="P13">
        <f t="shared" si="3"/>
        <v>332.36002365781098</v>
      </c>
      <c r="Q13">
        <f t="shared" si="4"/>
        <v>0</v>
      </c>
      <c r="R13">
        <f t="shared" si="5"/>
        <v>332.36002365781098</v>
      </c>
      <c r="S13" s="120">
        <f t="shared" si="6"/>
        <v>-3472.0919999319813</v>
      </c>
      <c r="T13">
        <f>mu_b*Q13</f>
        <v>0</v>
      </c>
      <c r="U13" t="str">
        <f t="shared" si="7"/>
        <v>Friction</v>
      </c>
      <c r="V13">
        <f>(L13+M13+N13+mu_u*0.1*(J13-K13))/(1-mu_u*0.24)</f>
        <v>13248.925474333153</v>
      </c>
      <c r="W13">
        <f t="shared" si="8"/>
        <v>2831.5384318792048</v>
      </c>
      <c r="X13">
        <f t="shared" si="9"/>
        <v>332.36002365781098</v>
      </c>
      <c r="Y13">
        <f t="shared" si="10"/>
        <v>0</v>
      </c>
      <c r="Z13">
        <f>MIN(mu_b*Q13,N13)</f>
        <v>0</v>
      </c>
      <c r="AA13">
        <f>mu_u*X13</f>
        <v>16.618001182890549</v>
      </c>
      <c r="AB13">
        <f t="shared" si="11"/>
        <v>-951.11300589744815</v>
      </c>
      <c r="AC13">
        <f>g_mps2/J13*W13</f>
        <v>1.2484947363110208</v>
      </c>
      <c r="AD13">
        <f t="shared" si="12"/>
        <v>0</v>
      </c>
      <c r="AE13" s="119">
        <f t="shared" si="13"/>
        <v>13.877417266084855</v>
      </c>
    </row>
    <row r="14" spans="1:31" x14ac:dyDescent="0.25">
      <c r="A14" s="87" t="s">
        <v>124</v>
      </c>
      <c r="B14" s="92" t="s">
        <v>249</v>
      </c>
      <c r="C14" s="11" t="s">
        <v>259</v>
      </c>
      <c r="D14" s="11" t="s">
        <v>104</v>
      </c>
      <c r="E14" s="35">
        <v>5000</v>
      </c>
      <c r="G14">
        <v>53</v>
      </c>
      <c r="H14">
        <f t="shared" si="0"/>
        <v>27.265555555555558</v>
      </c>
      <c r="I14">
        <f>0.5*rho_kgpm3*H14^2</f>
        <v>455.33895008565867</v>
      </c>
      <c r="J14" s="120">
        <f t="shared" si="1"/>
        <v>22241.108076302498</v>
      </c>
      <c r="K14">
        <f>I14*CL*$E$30</f>
        <v>25713.20007623448</v>
      </c>
      <c r="L14">
        <f>I14*CD*$E$30</f>
        <v>2618.3922598565532</v>
      </c>
      <c r="M14">
        <f>T_rev_N</f>
        <v>1147.6411767372092</v>
      </c>
      <c r="N14">
        <f t="shared" si="2"/>
        <v>9341.2653920470511</v>
      </c>
      <c r="O14" s="120">
        <f>(L14+M14+(mu_b*(1-0.1)+mu_u*0.1)*($E$19-K14))/(1+0.24*(mu_b-mu_u))</f>
        <v>2831.5384318792048</v>
      </c>
      <c r="P14">
        <f t="shared" si="3"/>
        <v>332.36002365781098</v>
      </c>
      <c r="Q14">
        <f t="shared" si="4"/>
        <v>0</v>
      </c>
      <c r="R14">
        <f t="shared" si="5"/>
        <v>332.36002365781098</v>
      </c>
      <c r="S14" s="120">
        <f t="shared" si="6"/>
        <v>-3472.0919999319813</v>
      </c>
      <c r="T14">
        <f>mu_b*Q14</f>
        <v>0</v>
      </c>
      <c r="U14" t="str">
        <f t="shared" si="7"/>
        <v>Friction</v>
      </c>
      <c r="V14">
        <f>(L14+M14+N14+mu_u*0.1*(J14-K14))/(1-mu_u*0.24)</f>
        <v>13248.925474333153</v>
      </c>
      <c r="W14">
        <f t="shared" si="8"/>
        <v>2831.5384318792048</v>
      </c>
      <c r="X14">
        <f t="shared" si="9"/>
        <v>332.36002365781098</v>
      </c>
      <c r="Y14">
        <f t="shared" si="10"/>
        <v>0</v>
      </c>
      <c r="Z14">
        <f>MIN(mu_b*Q14,N14)</f>
        <v>0</v>
      </c>
      <c r="AA14">
        <f>mu_u*X14</f>
        <v>16.618001182890549</v>
      </c>
      <c r="AB14">
        <f t="shared" si="11"/>
        <v>-951.11300589744815</v>
      </c>
      <c r="AC14">
        <f>g_mps2/J14*W14</f>
        <v>1.2484947363110208</v>
      </c>
      <c r="AD14">
        <f t="shared" si="12"/>
        <v>0</v>
      </c>
      <c r="AE14" s="119">
        <f t="shared" si="13"/>
        <v>13.877417266084855</v>
      </c>
    </row>
    <row r="15" spans="1:31" x14ac:dyDescent="0.25">
      <c r="A15" s="88"/>
      <c r="B15" s="93"/>
      <c r="C15" s="11" t="s">
        <v>260</v>
      </c>
      <c r="D15" s="11" t="s">
        <v>10</v>
      </c>
      <c r="E15" s="15">
        <f t="shared" ref="E15" si="14">E14*CONVERT(1,"lbm","kg")</f>
        <v>2267.9618500000001</v>
      </c>
      <c r="G15">
        <v>53</v>
      </c>
      <c r="H15">
        <f t="shared" si="0"/>
        <v>27.265555555555558</v>
      </c>
      <c r="I15">
        <f>0.5*rho_kgpm3*H15^2</f>
        <v>455.33895008565867</v>
      </c>
      <c r="J15" s="120">
        <f t="shared" si="1"/>
        <v>22241.108076302498</v>
      </c>
      <c r="K15">
        <f>I15*CL*$E$30</f>
        <v>25713.20007623448</v>
      </c>
      <c r="L15">
        <f>I15*CD*$E$30</f>
        <v>2618.3922598565532</v>
      </c>
      <c r="M15">
        <f>T_rev_N</f>
        <v>1147.6411767372092</v>
      </c>
      <c r="N15">
        <f t="shared" si="2"/>
        <v>9341.2653920470511</v>
      </c>
      <c r="O15" s="120">
        <f>(L15+M15+(mu_b*(1-0.1)+mu_u*0.1)*($E$19-K15))/(1+0.24*(mu_b-mu_u))</f>
        <v>2831.5384318792048</v>
      </c>
      <c r="P15">
        <f t="shared" si="3"/>
        <v>332.36002365781098</v>
      </c>
      <c r="Q15">
        <f t="shared" si="4"/>
        <v>0</v>
      </c>
      <c r="R15">
        <f t="shared" si="5"/>
        <v>332.36002365781098</v>
      </c>
      <c r="S15" s="120">
        <f t="shared" si="6"/>
        <v>-3472.0919999319813</v>
      </c>
      <c r="T15">
        <f>mu_b*Q15</f>
        <v>0</v>
      </c>
      <c r="U15" t="str">
        <f t="shared" si="7"/>
        <v>Friction</v>
      </c>
      <c r="V15">
        <f>(L15+M15+N15+mu_u*0.1*(J15-K15))/(1-mu_u*0.24)</f>
        <v>13248.925474333153</v>
      </c>
      <c r="W15">
        <f t="shared" si="8"/>
        <v>2831.5384318792048</v>
      </c>
      <c r="X15">
        <f t="shared" si="9"/>
        <v>332.36002365781098</v>
      </c>
      <c r="Y15">
        <f t="shared" si="10"/>
        <v>0</v>
      </c>
      <c r="Z15">
        <f>MIN(mu_b*Q15,N15)</f>
        <v>0</v>
      </c>
      <c r="AA15">
        <f>mu_u*X15</f>
        <v>16.618001182890549</v>
      </c>
      <c r="AB15">
        <f t="shared" si="11"/>
        <v>-951.11300589744815</v>
      </c>
      <c r="AC15">
        <f>g_mps2/J15*W15</f>
        <v>1.2484947363110208</v>
      </c>
      <c r="AD15">
        <f t="shared" si="12"/>
        <v>0</v>
      </c>
      <c r="AE15" s="119">
        <f t="shared" si="13"/>
        <v>13.877417266084855</v>
      </c>
    </row>
    <row r="16" spans="1:31" x14ac:dyDescent="0.25">
      <c r="A16" s="88"/>
      <c r="B16" s="94"/>
      <c r="C16" s="11" t="s">
        <v>261</v>
      </c>
      <c r="D16" s="11" t="s">
        <v>109</v>
      </c>
      <c r="E16" s="15">
        <f>E15*E3</f>
        <v>22241.108076302498</v>
      </c>
      <c r="G16">
        <v>53</v>
      </c>
      <c r="H16">
        <f t="shared" si="0"/>
        <v>27.265555555555558</v>
      </c>
      <c r="I16">
        <f>0.5*rho_kgpm3*H16^2</f>
        <v>455.33895008565867</v>
      </c>
      <c r="J16" s="120">
        <f t="shared" si="1"/>
        <v>22241.108076302498</v>
      </c>
      <c r="K16">
        <f>I16*CL*$E$30</f>
        <v>25713.20007623448</v>
      </c>
      <c r="L16">
        <f>I16*CD*$E$30</f>
        <v>2618.3922598565532</v>
      </c>
      <c r="M16">
        <f>T_rev_N</f>
        <v>1147.6411767372092</v>
      </c>
      <c r="N16">
        <f t="shared" si="2"/>
        <v>9341.2653920470511</v>
      </c>
      <c r="O16" s="120">
        <f>(L16+M16+(mu_b*(1-0.1)+mu_u*0.1)*($E$19-K16))/(1+0.24*(mu_b-mu_u))</f>
        <v>2831.5384318792048</v>
      </c>
      <c r="P16">
        <f t="shared" si="3"/>
        <v>332.36002365781098</v>
      </c>
      <c r="Q16">
        <f t="shared" si="4"/>
        <v>0</v>
      </c>
      <c r="R16">
        <f t="shared" si="5"/>
        <v>332.36002365781098</v>
      </c>
      <c r="S16" s="120">
        <f t="shared" si="6"/>
        <v>-3472.0919999319813</v>
      </c>
      <c r="T16">
        <f>mu_b*Q16</f>
        <v>0</v>
      </c>
      <c r="U16" t="str">
        <f t="shared" si="7"/>
        <v>Friction</v>
      </c>
      <c r="V16">
        <f>(L16+M16+N16+mu_u*0.1*(J16-K16))/(1-mu_u*0.24)</f>
        <v>13248.925474333153</v>
      </c>
      <c r="W16">
        <f t="shared" si="8"/>
        <v>2831.5384318792048</v>
      </c>
      <c r="X16">
        <f t="shared" si="9"/>
        <v>332.36002365781098</v>
      </c>
      <c r="Y16">
        <f t="shared" si="10"/>
        <v>0</v>
      </c>
      <c r="Z16">
        <f>MIN(mu_b*Q16,N16)</f>
        <v>0</v>
      </c>
      <c r="AA16">
        <f>mu_u*X16</f>
        <v>16.618001182890549</v>
      </c>
      <c r="AB16">
        <f t="shared" si="11"/>
        <v>-951.11300589744815</v>
      </c>
      <c r="AC16">
        <f>g_mps2/J16*W16</f>
        <v>1.2484947363110208</v>
      </c>
      <c r="AD16">
        <f t="shared" si="12"/>
        <v>0</v>
      </c>
      <c r="AE16" s="119">
        <f t="shared" si="13"/>
        <v>13.877417266084855</v>
      </c>
    </row>
    <row r="17" spans="1:31" x14ac:dyDescent="0.25">
      <c r="A17" s="88"/>
      <c r="B17" s="92" t="s">
        <v>250</v>
      </c>
      <c r="C17" s="11" t="s">
        <v>262</v>
      </c>
      <c r="D17" s="11" t="s">
        <v>104</v>
      </c>
      <c r="E17" s="35">
        <v>5000</v>
      </c>
      <c r="G17">
        <v>53</v>
      </c>
      <c r="H17">
        <f t="shared" si="0"/>
        <v>27.265555555555558</v>
      </c>
      <c r="I17">
        <f>0.5*rho_kgpm3*H17^2</f>
        <v>455.33895008565867</v>
      </c>
      <c r="J17" s="120">
        <f t="shared" si="1"/>
        <v>22241.108076302498</v>
      </c>
      <c r="K17">
        <f>I17*CL*$E$30</f>
        <v>25713.20007623448</v>
      </c>
      <c r="L17">
        <f>I17*CD*$E$30</f>
        <v>2618.3922598565532</v>
      </c>
      <c r="M17">
        <f>T_rev_N</f>
        <v>1147.6411767372092</v>
      </c>
      <c r="N17">
        <f t="shared" si="2"/>
        <v>9341.2653920470511</v>
      </c>
      <c r="O17" s="120">
        <f>(L17+M17+(mu_b*(1-0.1)+mu_u*0.1)*($E$19-K17))/(1+0.24*(mu_b-mu_u))</f>
        <v>2831.5384318792048</v>
      </c>
      <c r="P17">
        <f t="shared" si="3"/>
        <v>332.36002365781098</v>
      </c>
      <c r="Q17">
        <f t="shared" si="4"/>
        <v>0</v>
      </c>
      <c r="R17">
        <f t="shared" si="5"/>
        <v>332.36002365781098</v>
      </c>
      <c r="S17" s="120">
        <f t="shared" si="6"/>
        <v>-3472.0919999319813</v>
      </c>
      <c r="T17">
        <f>mu_b*Q17</f>
        <v>0</v>
      </c>
      <c r="U17" t="str">
        <f t="shared" si="7"/>
        <v>Friction</v>
      </c>
      <c r="V17">
        <f>(L17+M17+N17+mu_u*0.1*(J17-K17))/(1-mu_u*0.24)</f>
        <v>13248.925474333153</v>
      </c>
      <c r="W17">
        <f t="shared" si="8"/>
        <v>2831.5384318792048</v>
      </c>
      <c r="X17">
        <f t="shared" si="9"/>
        <v>332.36002365781098</v>
      </c>
      <c r="Y17">
        <f t="shared" si="10"/>
        <v>0</v>
      </c>
      <c r="Z17">
        <f>MIN(mu_b*Q17,N17)</f>
        <v>0</v>
      </c>
      <c r="AA17">
        <f>mu_u*X17</f>
        <v>16.618001182890549</v>
      </c>
      <c r="AB17">
        <f t="shared" si="11"/>
        <v>-951.11300589744815</v>
      </c>
      <c r="AC17">
        <f>g_mps2/J17*W17</f>
        <v>1.2484947363110208</v>
      </c>
      <c r="AD17">
        <f t="shared" si="12"/>
        <v>0</v>
      </c>
      <c r="AE17" s="119">
        <f t="shared" si="13"/>
        <v>13.877417266084855</v>
      </c>
    </row>
    <row r="18" spans="1:31" x14ac:dyDescent="0.25">
      <c r="A18" s="88"/>
      <c r="B18" s="93"/>
      <c r="C18" s="11" t="s">
        <v>263</v>
      </c>
      <c r="D18" s="11" t="s">
        <v>10</v>
      </c>
      <c r="E18" s="15">
        <f t="shared" ref="E18" si="15">E17*CONVERT(1,"lbm","kg")</f>
        <v>2267.9618500000001</v>
      </c>
      <c r="G18">
        <v>53</v>
      </c>
      <c r="H18">
        <f t="shared" si="0"/>
        <v>27.265555555555558</v>
      </c>
      <c r="I18">
        <f>0.5*rho_kgpm3*H18^2</f>
        <v>455.33895008565867</v>
      </c>
      <c r="J18" s="120">
        <f t="shared" si="1"/>
        <v>22241.108076302498</v>
      </c>
      <c r="K18">
        <f>I18*CL*$E$30</f>
        <v>25713.20007623448</v>
      </c>
      <c r="L18">
        <f>I18*CD*$E$30</f>
        <v>2618.3922598565532</v>
      </c>
      <c r="M18">
        <f>T_rev_N</f>
        <v>1147.6411767372092</v>
      </c>
      <c r="N18">
        <f t="shared" si="2"/>
        <v>9341.2653920470511</v>
      </c>
      <c r="O18" s="120">
        <f>(L18+M18+(mu_b*(1-0.1)+mu_u*0.1)*($E$19-K18))/(1+0.24*(mu_b-mu_u))</f>
        <v>2831.5384318792048</v>
      </c>
      <c r="P18">
        <f t="shared" si="3"/>
        <v>332.36002365781098</v>
      </c>
      <c r="Q18">
        <f t="shared" si="4"/>
        <v>0</v>
      </c>
      <c r="R18">
        <f t="shared" si="5"/>
        <v>332.36002365781098</v>
      </c>
      <c r="S18" s="120">
        <f t="shared" si="6"/>
        <v>-3472.0919999319813</v>
      </c>
      <c r="T18">
        <f>mu_b*Q18</f>
        <v>0</v>
      </c>
      <c r="U18" t="str">
        <f t="shared" si="7"/>
        <v>Friction</v>
      </c>
      <c r="V18">
        <f>(L18+M18+N18+mu_u*0.1*(J18-K18))/(1-mu_u*0.24)</f>
        <v>13248.925474333153</v>
      </c>
      <c r="W18">
        <f t="shared" si="8"/>
        <v>2831.5384318792048</v>
      </c>
      <c r="X18">
        <f t="shared" si="9"/>
        <v>332.36002365781098</v>
      </c>
      <c r="Y18">
        <f t="shared" si="10"/>
        <v>0</v>
      </c>
      <c r="Z18">
        <f>MIN(mu_b*Q18,N18)</f>
        <v>0</v>
      </c>
      <c r="AA18">
        <f>mu_u*X18</f>
        <v>16.618001182890549</v>
      </c>
      <c r="AB18">
        <f t="shared" si="11"/>
        <v>-951.11300589744815</v>
      </c>
      <c r="AC18">
        <f>g_mps2/J18*W18</f>
        <v>1.2484947363110208</v>
      </c>
      <c r="AD18">
        <f t="shared" si="12"/>
        <v>0</v>
      </c>
      <c r="AE18" s="119">
        <f t="shared" si="13"/>
        <v>13.877417266084855</v>
      </c>
    </row>
    <row r="19" spans="1:31" x14ac:dyDescent="0.25">
      <c r="A19" s="89"/>
      <c r="B19" s="94"/>
      <c r="C19" s="11" t="s">
        <v>264</v>
      </c>
      <c r="D19" s="11" t="s">
        <v>109</v>
      </c>
      <c r="E19" s="15">
        <f>E18*E3</f>
        <v>22241.108076302498</v>
      </c>
      <c r="G19">
        <v>53</v>
      </c>
      <c r="H19">
        <f t="shared" si="0"/>
        <v>27.265555555555558</v>
      </c>
      <c r="I19">
        <f>0.5*rho_kgpm3*H19^2</f>
        <v>455.33895008565867</v>
      </c>
      <c r="J19" s="120">
        <f t="shared" si="1"/>
        <v>22241.108076302498</v>
      </c>
      <c r="K19">
        <f>I19*CL*$E$30</f>
        <v>25713.20007623448</v>
      </c>
      <c r="L19">
        <f>I19*CD*$E$30</f>
        <v>2618.3922598565532</v>
      </c>
      <c r="M19">
        <f>T_rev_N</f>
        <v>1147.6411767372092</v>
      </c>
      <c r="N19">
        <f t="shared" si="2"/>
        <v>9341.2653920470511</v>
      </c>
      <c r="O19" s="120">
        <f>(L19+M19+(mu_b*(1-0.1)+mu_u*0.1)*($E$19-K19))/(1+0.24*(mu_b-mu_u))</f>
        <v>2831.5384318792048</v>
      </c>
      <c r="P19">
        <f t="shared" si="3"/>
        <v>332.36002365781098</v>
      </c>
      <c r="Q19">
        <f t="shared" si="4"/>
        <v>0</v>
      </c>
      <c r="R19">
        <f t="shared" si="5"/>
        <v>332.36002365781098</v>
      </c>
      <c r="S19" s="120">
        <f t="shared" si="6"/>
        <v>-3472.0919999319813</v>
      </c>
      <c r="T19">
        <f>mu_b*Q19</f>
        <v>0</v>
      </c>
      <c r="U19" t="str">
        <f t="shared" si="7"/>
        <v>Friction</v>
      </c>
      <c r="V19">
        <f>(L19+M19+N19+mu_u*0.1*(J19-K19))/(1-mu_u*0.24)</f>
        <v>13248.925474333153</v>
      </c>
      <c r="W19">
        <f t="shared" si="8"/>
        <v>2831.5384318792048</v>
      </c>
      <c r="X19">
        <f t="shared" si="9"/>
        <v>332.36002365781098</v>
      </c>
      <c r="Y19">
        <f t="shared" si="10"/>
        <v>0</v>
      </c>
      <c r="Z19">
        <f>MIN(mu_b*Q19,N19)</f>
        <v>0</v>
      </c>
      <c r="AA19">
        <f>mu_u*X19</f>
        <v>16.618001182890549</v>
      </c>
      <c r="AB19">
        <f t="shared" si="11"/>
        <v>-951.11300589744815</v>
      </c>
      <c r="AC19">
        <f>g_mps2/J19*W19</f>
        <v>1.2484947363110208</v>
      </c>
      <c r="AD19">
        <f t="shared" si="12"/>
        <v>0</v>
      </c>
      <c r="AE19" s="119">
        <f t="shared" si="13"/>
        <v>13.877417266084855</v>
      </c>
    </row>
    <row r="20" spans="1:31" x14ac:dyDescent="0.25">
      <c r="A20" s="87"/>
      <c r="B20" s="90" t="s">
        <v>252</v>
      </c>
      <c r="C20" s="11" t="s">
        <v>254</v>
      </c>
      <c r="D20" s="11" t="s">
        <v>105</v>
      </c>
      <c r="E20" s="14">
        <f t="shared" ref="E20" si="16">CONVERT(1,"m/sec","kn")*E21</f>
        <v>49.291951816659292</v>
      </c>
      <c r="G20">
        <v>53</v>
      </c>
      <c r="H20">
        <f t="shared" si="0"/>
        <v>27.265555555555558</v>
      </c>
      <c r="I20">
        <f>0.5*rho_kgpm3*H20^2</f>
        <v>455.33895008565867</v>
      </c>
      <c r="J20" s="120">
        <f t="shared" si="1"/>
        <v>22241.108076302498</v>
      </c>
      <c r="K20">
        <f>I20*CL*$E$30</f>
        <v>25713.20007623448</v>
      </c>
      <c r="L20">
        <f>I20*CD*$E$30</f>
        <v>2618.3922598565532</v>
      </c>
      <c r="M20">
        <f>T_rev_N</f>
        <v>1147.6411767372092</v>
      </c>
      <c r="N20">
        <f t="shared" si="2"/>
        <v>9341.2653920470511</v>
      </c>
      <c r="O20" s="120">
        <f>(L20+M20+(mu_b*(1-0.1)+mu_u*0.1)*($E$19-K20))/(1+0.24*(mu_b-mu_u))</f>
        <v>2831.5384318792048</v>
      </c>
      <c r="P20">
        <f t="shared" ref="P20:P60" si="17">MAX(0.1*(J20-K20)+0.24*O20,0)</f>
        <v>332.36002365781098</v>
      </c>
      <c r="Q20">
        <f t="shared" ref="Q20:Q60" si="18">MAX(0.9*(J20-K20)-0.24*O20,0)</f>
        <v>0</v>
      </c>
      <c r="R20">
        <f t="shared" ref="R20:R60" si="19">P20+Q20</f>
        <v>332.36002365781098</v>
      </c>
      <c r="S20" s="120">
        <f t="shared" ref="S20:S60" si="20">J20-K20</f>
        <v>-3472.0919999319813</v>
      </c>
      <c r="T20">
        <f>mu_b*Q20</f>
        <v>0</v>
      </c>
      <c r="U20" t="str">
        <f t="shared" ref="U20:U60" si="21">IF(Q20&lt;=M20,"Friction","Brake Limit")</f>
        <v>Friction</v>
      </c>
      <c r="V20">
        <f>(L20+M20+N20+mu_u*0.1*(J20-K20))/(1-mu_u*0.24)</f>
        <v>13248.925474333153</v>
      </c>
      <c r="W20">
        <f t="shared" ref="W20:W60" si="22">IF(T20&lt;N20,O20,V20)</f>
        <v>2831.5384318792048</v>
      </c>
      <c r="X20">
        <f t="shared" ref="X20:X60" si="23">MAX(0.1*(J20-K20)+0.24*W20,0)</f>
        <v>332.36002365781098</v>
      </c>
      <c r="Y20">
        <f t="shared" ref="Y20:Y60" si="24">MAX(0.9*(J20-K20)-0.24*W20,0)</f>
        <v>0</v>
      </c>
      <c r="Z20">
        <f>MIN(mu_b*Q20,N20)</f>
        <v>0</v>
      </c>
      <c r="AA20">
        <f>mu_u*X20</f>
        <v>16.618001182890549</v>
      </c>
      <c r="AB20">
        <f t="shared" ref="AB20:AB60" si="25">W20-(L20+M20+Z20+AA20)</f>
        <v>-951.11300589744815</v>
      </c>
      <c r="AC20">
        <f>g_mps2/J20*W20</f>
        <v>1.2484947363110208</v>
      </c>
      <c r="AD20">
        <f t="shared" si="12"/>
        <v>0</v>
      </c>
      <c r="AE20" s="119">
        <f t="shared" ref="AE20:AE60" si="26">AE19+AD20</f>
        <v>13.877417266084855</v>
      </c>
    </row>
    <row r="21" spans="1:31" x14ac:dyDescent="0.25">
      <c r="A21" s="88"/>
      <c r="B21" s="91"/>
      <c r="C21" s="11" t="s">
        <v>255</v>
      </c>
      <c r="D21" s="11" t="s">
        <v>19</v>
      </c>
      <c r="E21" s="14">
        <f t="shared" ref="E21" si="27">SQRT(E16/(0.5*E11*E30*E39))</f>
        <v>25.357970767903616</v>
      </c>
      <c r="G21">
        <v>53</v>
      </c>
      <c r="H21">
        <f t="shared" si="0"/>
        <v>27.265555555555558</v>
      </c>
      <c r="I21">
        <f>0.5*rho_kgpm3*H21^2</f>
        <v>455.33895008565867</v>
      </c>
      <c r="J21" s="120">
        <f t="shared" si="1"/>
        <v>22241.108076302498</v>
      </c>
      <c r="K21">
        <f>I21*CL*$E$30</f>
        <v>25713.20007623448</v>
      </c>
      <c r="L21">
        <f>I21*CD*$E$30</f>
        <v>2618.3922598565532</v>
      </c>
      <c r="M21">
        <f>T_rev_N</f>
        <v>1147.6411767372092</v>
      </c>
      <c r="N21">
        <f t="shared" si="2"/>
        <v>9341.2653920470511</v>
      </c>
      <c r="O21" s="120">
        <f>(L21+M21+(mu_b*(1-0.1)+mu_u*0.1)*($E$19-K21))/(1+0.24*(mu_b-mu_u))</f>
        <v>2831.5384318792048</v>
      </c>
      <c r="P21">
        <f t="shared" si="17"/>
        <v>332.36002365781098</v>
      </c>
      <c r="Q21">
        <f t="shared" si="18"/>
        <v>0</v>
      </c>
      <c r="R21">
        <f t="shared" si="19"/>
        <v>332.36002365781098</v>
      </c>
      <c r="S21" s="120">
        <f t="shared" si="20"/>
        <v>-3472.0919999319813</v>
      </c>
      <c r="T21">
        <f>mu_b*Q21</f>
        <v>0</v>
      </c>
      <c r="U21" t="str">
        <f t="shared" si="21"/>
        <v>Friction</v>
      </c>
      <c r="V21">
        <f>(L21+M21+N21+mu_u*0.1*(J21-K21))/(1-mu_u*0.24)</f>
        <v>13248.925474333153</v>
      </c>
      <c r="W21">
        <f t="shared" si="22"/>
        <v>2831.5384318792048</v>
      </c>
      <c r="X21">
        <f t="shared" si="23"/>
        <v>332.36002365781098</v>
      </c>
      <c r="Y21">
        <f t="shared" si="24"/>
        <v>0</v>
      </c>
      <c r="Z21">
        <f>MIN(mu_b*Q21,N21)</f>
        <v>0</v>
      </c>
      <c r="AA21">
        <f>mu_u*X21</f>
        <v>16.618001182890549</v>
      </c>
      <c r="AB21">
        <f t="shared" si="25"/>
        <v>-951.11300589744815</v>
      </c>
      <c r="AC21">
        <f>g_mps2/J21*W21</f>
        <v>1.2484947363110208</v>
      </c>
      <c r="AD21">
        <f t="shared" si="12"/>
        <v>0</v>
      </c>
      <c r="AE21" s="119">
        <f t="shared" si="26"/>
        <v>13.877417266084855</v>
      </c>
    </row>
    <row r="22" spans="1:31" x14ac:dyDescent="0.25">
      <c r="A22" s="88"/>
      <c r="B22" s="90" t="s">
        <v>253</v>
      </c>
      <c r="C22" s="11" t="s">
        <v>256</v>
      </c>
      <c r="D22" s="11" t="s">
        <v>105</v>
      </c>
      <c r="E22" s="14">
        <f t="shared" ref="E22" si="28">CONVERT(1,"m/sec","kn")*E23</f>
        <v>49.291951816659292</v>
      </c>
      <c r="G22">
        <v>53</v>
      </c>
      <c r="H22">
        <f t="shared" si="0"/>
        <v>27.265555555555558</v>
      </c>
      <c r="I22">
        <f>0.5*rho_kgpm3*H22^2</f>
        <v>455.33895008565867</v>
      </c>
      <c r="J22" s="120">
        <f t="shared" si="1"/>
        <v>22241.108076302498</v>
      </c>
      <c r="K22">
        <f>I22*CL*$E$30</f>
        <v>25713.20007623448</v>
      </c>
      <c r="L22">
        <f>I22*CD*$E$30</f>
        <v>2618.3922598565532</v>
      </c>
      <c r="M22">
        <f>T_rev_N</f>
        <v>1147.6411767372092</v>
      </c>
      <c r="N22">
        <f t="shared" si="2"/>
        <v>9341.2653920470511</v>
      </c>
      <c r="O22" s="120">
        <f>(L22+M22+(mu_b*(1-0.1)+mu_u*0.1)*($E$19-K22))/(1+0.24*(mu_b-mu_u))</f>
        <v>2831.5384318792048</v>
      </c>
      <c r="P22">
        <f t="shared" si="17"/>
        <v>332.36002365781098</v>
      </c>
      <c r="Q22">
        <f t="shared" si="18"/>
        <v>0</v>
      </c>
      <c r="R22">
        <f t="shared" si="19"/>
        <v>332.36002365781098</v>
      </c>
      <c r="S22" s="120">
        <f t="shared" si="20"/>
        <v>-3472.0919999319813</v>
      </c>
      <c r="T22">
        <f>mu_b*Q22</f>
        <v>0</v>
      </c>
      <c r="U22" t="str">
        <f t="shared" si="21"/>
        <v>Friction</v>
      </c>
      <c r="V22">
        <f>(L22+M22+N22+mu_u*0.1*(J22-K22))/(1-mu_u*0.24)</f>
        <v>13248.925474333153</v>
      </c>
      <c r="W22">
        <f t="shared" si="22"/>
        <v>2831.5384318792048</v>
      </c>
      <c r="X22">
        <f t="shared" si="23"/>
        <v>332.36002365781098</v>
      </c>
      <c r="Y22">
        <f t="shared" si="24"/>
        <v>0</v>
      </c>
      <c r="Z22">
        <f>MIN(mu_b*Q22,N22)</f>
        <v>0</v>
      </c>
      <c r="AA22">
        <f>mu_u*X22</f>
        <v>16.618001182890549</v>
      </c>
      <c r="AB22">
        <f t="shared" si="25"/>
        <v>-951.11300589744815</v>
      </c>
      <c r="AC22">
        <f>g_mps2/J22*W22</f>
        <v>1.2484947363110208</v>
      </c>
      <c r="AD22">
        <f t="shared" si="12"/>
        <v>0</v>
      </c>
      <c r="AE22" s="119">
        <f t="shared" si="26"/>
        <v>13.877417266084855</v>
      </c>
    </row>
    <row r="23" spans="1:31" x14ac:dyDescent="0.25">
      <c r="A23" s="88"/>
      <c r="B23" s="91"/>
      <c r="C23" s="11" t="s">
        <v>257</v>
      </c>
      <c r="D23" s="11" t="s">
        <v>19</v>
      </c>
      <c r="E23" s="14">
        <f t="shared" ref="E23" si="29">SQRT(E19/(0.5*E11*E30*E39))</f>
        <v>25.357970767903616</v>
      </c>
      <c r="G23">
        <v>53</v>
      </c>
      <c r="H23">
        <f t="shared" si="0"/>
        <v>27.265555555555558</v>
      </c>
      <c r="I23">
        <f>0.5*rho_kgpm3*H23^2</f>
        <v>455.33895008565867</v>
      </c>
      <c r="J23" s="120">
        <f t="shared" si="1"/>
        <v>22241.108076302498</v>
      </c>
      <c r="K23">
        <f>I23*CL*$E$30</f>
        <v>25713.20007623448</v>
      </c>
      <c r="L23">
        <f>I23*CD*$E$30</f>
        <v>2618.3922598565532</v>
      </c>
      <c r="M23">
        <f>T_rev_N</f>
        <v>1147.6411767372092</v>
      </c>
      <c r="N23">
        <f t="shared" si="2"/>
        <v>9341.2653920470511</v>
      </c>
      <c r="O23" s="120">
        <f>(L23+M23+(mu_b*(1-0.1)+mu_u*0.1)*($E$19-K23))/(1+0.24*(mu_b-mu_u))</f>
        <v>2831.5384318792048</v>
      </c>
      <c r="P23">
        <f t="shared" si="17"/>
        <v>332.36002365781098</v>
      </c>
      <c r="Q23">
        <f t="shared" si="18"/>
        <v>0</v>
      </c>
      <c r="R23">
        <f t="shared" si="19"/>
        <v>332.36002365781098</v>
      </c>
      <c r="S23" s="120">
        <f t="shared" si="20"/>
        <v>-3472.0919999319813</v>
      </c>
      <c r="T23">
        <f>mu_b*Q23</f>
        <v>0</v>
      </c>
      <c r="U23" t="str">
        <f t="shared" si="21"/>
        <v>Friction</v>
      </c>
      <c r="V23">
        <f>(L23+M23+N23+mu_u*0.1*(J23-K23))/(1-mu_u*0.24)</f>
        <v>13248.925474333153</v>
      </c>
      <c r="W23">
        <f t="shared" si="22"/>
        <v>2831.5384318792048</v>
      </c>
      <c r="X23">
        <f t="shared" si="23"/>
        <v>332.36002365781098</v>
      </c>
      <c r="Y23">
        <f t="shared" si="24"/>
        <v>0</v>
      </c>
      <c r="Z23">
        <f>MIN(mu_b*Q23,N23)</f>
        <v>0</v>
      </c>
      <c r="AA23">
        <f>mu_u*X23</f>
        <v>16.618001182890549</v>
      </c>
      <c r="AB23">
        <f t="shared" si="25"/>
        <v>-951.11300589744815</v>
      </c>
      <c r="AC23">
        <f>g_mps2/J23*W23</f>
        <v>1.2484947363110208</v>
      </c>
      <c r="AD23">
        <f t="shared" si="12"/>
        <v>0</v>
      </c>
      <c r="AE23" s="119">
        <f t="shared" si="26"/>
        <v>13.877417266084855</v>
      </c>
    </row>
    <row r="24" spans="1:31" x14ac:dyDescent="0.25">
      <c r="A24" s="88"/>
      <c r="B24" s="76" t="s">
        <v>135</v>
      </c>
      <c r="C24" s="11"/>
      <c r="D24" s="11"/>
      <c r="E24" s="11">
        <v>1.1000000000000001</v>
      </c>
      <c r="G24">
        <v>53</v>
      </c>
      <c r="H24">
        <f t="shared" si="0"/>
        <v>27.265555555555558</v>
      </c>
      <c r="I24">
        <f>0.5*rho_kgpm3*H24^2</f>
        <v>455.33895008565867</v>
      </c>
      <c r="J24" s="120">
        <f t="shared" si="1"/>
        <v>22241.108076302498</v>
      </c>
      <c r="K24">
        <f>I24*CL*$E$30</f>
        <v>25713.20007623448</v>
      </c>
      <c r="L24">
        <f>I24*CD*$E$30</f>
        <v>2618.3922598565532</v>
      </c>
      <c r="M24">
        <f>T_rev_N</f>
        <v>1147.6411767372092</v>
      </c>
      <c r="N24">
        <f t="shared" si="2"/>
        <v>9341.2653920470511</v>
      </c>
      <c r="O24" s="120">
        <f>(L24+M24+(mu_b*(1-0.1)+mu_u*0.1)*($E$19-K24))/(1+0.24*(mu_b-mu_u))</f>
        <v>2831.5384318792048</v>
      </c>
      <c r="P24">
        <f t="shared" si="17"/>
        <v>332.36002365781098</v>
      </c>
      <c r="Q24">
        <f t="shared" si="18"/>
        <v>0</v>
      </c>
      <c r="R24">
        <f t="shared" si="19"/>
        <v>332.36002365781098</v>
      </c>
      <c r="S24" s="120">
        <f t="shared" si="20"/>
        <v>-3472.0919999319813</v>
      </c>
      <c r="T24">
        <f>mu_b*Q24</f>
        <v>0</v>
      </c>
      <c r="U24" t="str">
        <f t="shared" si="21"/>
        <v>Friction</v>
      </c>
      <c r="V24">
        <f>(L24+M24+N24+mu_u*0.1*(J24-K24))/(1-mu_u*0.24)</f>
        <v>13248.925474333153</v>
      </c>
      <c r="W24">
        <f t="shared" si="22"/>
        <v>2831.5384318792048</v>
      </c>
      <c r="X24">
        <f t="shared" si="23"/>
        <v>332.36002365781098</v>
      </c>
      <c r="Y24">
        <f t="shared" si="24"/>
        <v>0</v>
      </c>
      <c r="Z24">
        <f>MIN(mu_b*Q24,N24)</f>
        <v>0</v>
      </c>
      <c r="AA24">
        <f>mu_u*X24</f>
        <v>16.618001182890549</v>
      </c>
      <c r="AB24">
        <f t="shared" si="25"/>
        <v>-951.11300589744815</v>
      </c>
      <c r="AC24">
        <f>g_mps2/J24*W24</f>
        <v>1.2484947363110208</v>
      </c>
      <c r="AD24">
        <f t="shared" si="12"/>
        <v>0</v>
      </c>
      <c r="AE24" s="119">
        <f t="shared" si="26"/>
        <v>13.877417266084855</v>
      </c>
    </row>
    <row r="25" spans="1:31" x14ac:dyDescent="0.25">
      <c r="A25" s="88"/>
      <c r="B25" s="95" t="s">
        <v>267</v>
      </c>
      <c r="C25" s="11" t="s">
        <v>131</v>
      </c>
      <c r="D25" s="11" t="s">
        <v>105</v>
      </c>
      <c r="E25" s="14">
        <f t="shared" ref="E25" si="30">CONVERT(1,"m/sec","kn")*E26</f>
        <v>54.221146998325224</v>
      </c>
      <c r="G25">
        <v>53</v>
      </c>
      <c r="H25">
        <f t="shared" si="0"/>
        <v>27.265555555555558</v>
      </c>
      <c r="I25">
        <f>0.5*rho_kgpm3*H25^2</f>
        <v>455.33895008565867</v>
      </c>
      <c r="J25" s="120">
        <f t="shared" si="1"/>
        <v>22241.108076302498</v>
      </c>
      <c r="K25">
        <f>I25*CL*$E$30</f>
        <v>25713.20007623448</v>
      </c>
      <c r="L25">
        <f>I25*CD*$E$30</f>
        <v>2618.3922598565532</v>
      </c>
      <c r="M25">
        <f>T_rev_N</f>
        <v>1147.6411767372092</v>
      </c>
      <c r="N25">
        <f t="shared" si="2"/>
        <v>9341.2653920470511</v>
      </c>
      <c r="O25" s="120">
        <f>(L25+M25+(mu_b*(1-0.1)+mu_u*0.1)*($E$19-K25))/(1+0.24*(mu_b-mu_u))</f>
        <v>2831.5384318792048</v>
      </c>
      <c r="P25">
        <f t="shared" si="17"/>
        <v>332.36002365781098</v>
      </c>
      <c r="Q25">
        <f t="shared" si="18"/>
        <v>0</v>
      </c>
      <c r="R25">
        <f t="shared" si="19"/>
        <v>332.36002365781098</v>
      </c>
      <c r="S25" s="120">
        <f t="shared" si="20"/>
        <v>-3472.0919999319813</v>
      </c>
      <c r="T25">
        <f>mu_b*Q25</f>
        <v>0</v>
      </c>
      <c r="U25" t="str">
        <f t="shared" si="21"/>
        <v>Friction</v>
      </c>
      <c r="V25">
        <f>(L25+M25+N25+mu_u*0.1*(J25-K25))/(1-mu_u*0.24)</f>
        <v>13248.925474333153</v>
      </c>
      <c r="W25">
        <f t="shared" si="22"/>
        <v>2831.5384318792048</v>
      </c>
      <c r="X25">
        <f t="shared" si="23"/>
        <v>332.36002365781098</v>
      </c>
      <c r="Y25">
        <f t="shared" si="24"/>
        <v>0</v>
      </c>
      <c r="Z25">
        <f>MIN(mu_b*Q25,N25)</f>
        <v>0</v>
      </c>
      <c r="AA25">
        <f>mu_u*X25</f>
        <v>16.618001182890549</v>
      </c>
      <c r="AB25">
        <f t="shared" si="25"/>
        <v>-951.11300589744815</v>
      </c>
      <c r="AC25">
        <f>g_mps2/J25*W25</f>
        <v>1.2484947363110208</v>
      </c>
      <c r="AD25">
        <f t="shared" si="12"/>
        <v>0</v>
      </c>
      <c r="AE25" s="119">
        <f t="shared" si="26"/>
        <v>13.877417266084855</v>
      </c>
    </row>
    <row r="26" spans="1:31" x14ac:dyDescent="0.25">
      <c r="A26" s="88"/>
      <c r="B26" s="95"/>
      <c r="C26" s="11" t="s">
        <v>116</v>
      </c>
      <c r="D26" s="11" t="s">
        <v>19</v>
      </c>
      <c r="E26" s="14">
        <f t="shared" ref="E26" si="31">E21*E24</f>
        <v>27.893767844693979</v>
      </c>
      <c r="G26">
        <v>53</v>
      </c>
      <c r="H26">
        <f t="shared" si="0"/>
        <v>27.265555555555558</v>
      </c>
      <c r="I26">
        <f>0.5*rho_kgpm3*H26^2</f>
        <v>455.33895008565867</v>
      </c>
      <c r="J26" s="120">
        <f t="shared" si="1"/>
        <v>22241.108076302498</v>
      </c>
      <c r="K26">
        <f>I26*CL*$E$30</f>
        <v>25713.20007623448</v>
      </c>
      <c r="L26">
        <f>I26*CD*$E$30</f>
        <v>2618.3922598565532</v>
      </c>
      <c r="M26">
        <f>T_rev_N</f>
        <v>1147.6411767372092</v>
      </c>
      <c r="N26">
        <f t="shared" si="2"/>
        <v>9341.2653920470511</v>
      </c>
      <c r="O26" s="120">
        <f>(L26+M26+(mu_b*(1-0.1)+mu_u*0.1)*($E$19-K26))/(1+0.24*(mu_b-mu_u))</f>
        <v>2831.5384318792048</v>
      </c>
      <c r="P26">
        <f t="shared" si="17"/>
        <v>332.36002365781098</v>
      </c>
      <c r="Q26">
        <f t="shared" si="18"/>
        <v>0</v>
      </c>
      <c r="R26">
        <f t="shared" si="19"/>
        <v>332.36002365781098</v>
      </c>
      <c r="S26" s="120">
        <f t="shared" si="20"/>
        <v>-3472.0919999319813</v>
      </c>
      <c r="T26">
        <f>mu_b*Q26</f>
        <v>0</v>
      </c>
      <c r="U26" t="str">
        <f t="shared" si="21"/>
        <v>Friction</v>
      </c>
      <c r="V26">
        <f>(L26+M26+N26+mu_u*0.1*(J26-K26))/(1-mu_u*0.24)</f>
        <v>13248.925474333153</v>
      </c>
      <c r="W26">
        <f t="shared" si="22"/>
        <v>2831.5384318792048</v>
      </c>
      <c r="X26">
        <f t="shared" si="23"/>
        <v>332.36002365781098</v>
      </c>
      <c r="Y26">
        <f t="shared" si="24"/>
        <v>0</v>
      </c>
      <c r="Z26">
        <f>MIN(mu_b*Q26,N26)</f>
        <v>0</v>
      </c>
      <c r="AA26">
        <f>mu_u*X26</f>
        <v>16.618001182890549</v>
      </c>
      <c r="AB26">
        <f t="shared" si="25"/>
        <v>-951.11300589744815</v>
      </c>
      <c r="AC26">
        <f>g_mps2/J26*W26</f>
        <v>1.2484947363110208</v>
      </c>
      <c r="AD26">
        <f t="shared" si="12"/>
        <v>0</v>
      </c>
      <c r="AE26" s="119">
        <f t="shared" si="26"/>
        <v>13.877417266084855</v>
      </c>
    </row>
    <row r="27" spans="1:31" x14ac:dyDescent="0.25">
      <c r="A27" s="88"/>
      <c r="B27" s="95" t="s">
        <v>273</v>
      </c>
      <c r="C27" s="11" t="s">
        <v>270</v>
      </c>
      <c r="D27" s="11" t="s">
        <v>105</v>
      </c>
      <c r="E27" s="14">
        <f t="shared" ref="E27" si="32">CONVERT(1,"m/sec","kn")*E28</f>
        <v>54.221146998325224</v>
      </c>
      <c r="G27">
        <v>53</v>
      </c>
      <c r="H27">
        <f t="shared" si="0"/>
        <v>27.265555555555558</v>
      </c>
      <c r="I27">
        <f>0.5*rho_kgpm3*H27^2</f>
        <v>455.33895008565867</v>
      </c>
      <c r="J27" s="120">
        <f t="shared" si="1"/>
        <v>22241.108076302498</v>
      </c>
      <c r="K27">
        <f>I27*CL*$E$30</f>
        <v>25713.20007623448</v>
      </c>
      <c r="L27">
        <f>I27*CD*$E$30</f>
        <v>2618.3922598565532</v>
      </c>
      <c r="M27">
        <f>T_rev_N</f>
        <v>1147.6411767372092</v>
      </c>
      <c r="N27">
        <f t="shared" si="2"/>
        <v>9341.2653920470511</v>
      </c>
      <c r="O27" s="120">
        <f>(L27+M27+(mu_b*(1-0.1)+mu_u*0.1)*($E$19-K27))/(1+0.24*(mu_b-mu_u))</f>
        <v>2831.5384318792048</v>
      </c>
      <c r="P27">
        <f t="shared" si="17"/>
        <v>332.36002365781098</v>
      </c>
      <c r="Q27">
        <f t="shared" si="18"/>
        <v>0</v>
      </c>
      <c r="R27">
        <f t="shared" si="19"/>
        <v>332.36002365781098</v>
      </c>
      <c r="S27" s="120">
        <f t="shared" si="20"/>
        <v>-3472.0919999319813</v>
      </c>
      <c r="T27">
        <f>mu_b*Q27</f>
        <v>0</v>
      </c>
      <c r="U27" t="str">
        <f t="shared" si="21"/>
        <v>Friction</v>
      </c>
      <c r="V27">
        <f>(L27+M27+N27+mu_u*0.1*(J27-K27))/(1-mu_u*0.24)</f>
        <v>13248.925474333153</v>
      </c>
      <c r="W27">
        <f t="shared" si="22"/>
        <v>2831.5384318792048</v>
      </c>
      <c r="X27">
        <f t="shared" si="23"/>
        <v>332.36002365781098</v>
      </c>
      <c r="Y27">
        <f t="shared" si="24"/>
        <v>0</v>
      </c>
      <c r="Z27">
        <f>MIN(mu_b*Q27,N27)</f>
        <v>0</v>
      </c>
      <c r="AA27">
        <f>mu_u*X27</f>
        <v>16.618001182890549</v>
      </c>
      <c r="AB27">
        <f t="shared" si="25"/>
        <v>-951.11300589744815</v>
      </c>
      <c r="AC27">
        <f>g_mps2/J27*W27</f>
        <v>1.2484947363110208</v>
      </c>
      <c r="AD27">
        <f t="shared" si="12"/>
        <v>0</v>
      </c>
      <c r="AE27" s="119">
        <f t="shared" si="26"/>
        <v>13.877417266084855</v>
      </c>
    </row>
    <row r="28" spans="1:31" x14ac:dyDescent="0.25">
      <c r="A28" s="88"/>
      <c r="B28" s="95"/>
      <c r="C28" s="11" t="s">
        <v>271</v>
      </c>
      <c r="D28" s="11" t="s">
        <v>19</v>
      </c>
      <c r="E28" s="14">
        <f t="shared" ref="E28" si="33">E23*E24</f>
        <v>27.893767844693979</v>
      </c>
      <c r="G28">
        <v>53</v>
      </c>
      <c r="H28">
        <f t="shared" si="0"/>
        <v>27.265555555555558</v>
      </c>
      <c r="I28">
        <f>0.5*rho_kgpm3*H28^2</f>
        <v>455.33895008565867</v>
      </c>
      <c r="J28" s="120">
        <f t="shared" si="1"/>
        <v>22241.108076302498</v>
      </c>
      <c r="K28">
        <f>I28*CL*$E$30</f>
        <v>25713.20007623448</v>
      </c>
      <c r="L28">
        <f>I28*CD*$E$30</f>
        <v>2618.3922598565532</v>
      </c>
      <c r="M28">
        <f>T_rev_N</f>
        <v>1147.6411767372092</v>
      </c>
      <c r="N28">
        <f t="shared" si="2"/>
        <v>9341.2653920470511</v>
      </c>
      <c r="O28" s="120">
        <f>(L28+M28+(mu_b*(1-0.1)+mu_u*0.1)*($E$19-K28))/(1+0.24*(mu_b-mu_u))</f>
        <v>2831.5384318792048</v>
      </c>
      <c r="P28">
        <f t="shared" si="17"/>
        <v>332.36002365781098</v>
      </c>
      <c r="Q28">
        <f t="shared" si="18"/>
        <v>0</v>
      </c>
      <c r="R28">
        <f t="shared" si="19"/>
        <v>332.36002365781098</v>
      </c>
      <c r="S28" s="120">
        <f t="shared" si="20"/>
        <v>-3472.0919999319813</v>
      </c>
      <c r="T28">
        <f>mu_b*Q28</f>
        <v>0</v>
      </c>
      <c r="U28" t="str">
        <f t="shared" si="21"/>
        <v>Friction</v>
      </c>
      <c r="V28">
        <f>(L28+M28+N28+mu_u*0.1*(J28-K28))/(1-mu_u*0.24)</f>
        <v>13248.925474333153</v>
      </c>
      <c r="W28">
        <f t="shared" si="22"/>
        <v>2831.5384318792048</v>
      </c>
      <c r="X28">
        <f t="shared" si="23"/>
        <v>332.36002365781098</v>
      </c>
      <c r="Y28">
        <f t="shared" si="24"/>
        <v>0</v>
      </c>
      <c r="Z28">
        <f>MIN(mu_b*Q28,N28)</f>
        <v>0</v>
      </c>
      <c r="AA28">
        <f>mu_u*X28</f>
        <v>16.618001182890549</v>
      </c>
      <c r="AB28">
        <f t="shared" si="25"/>
        <v>-951.11300589744815</v>
      </c>
      <c r="AC28">
        <f>g_mps2/J28*W28</f>
        <v>1.2484947363110208</v>
      </c>
      <c r="AD28">
        <f t="shared" si="12"/>
        <v>0</v>
      </c>
      <c r="AE28" s="119">
        <f t="shared" si="26"/>
        <v>13.877417266084855</v>
      </c>
    </row>
    <row r="29" spans="1:31" x14ac:dyDescent="0.25">
      <c r="A29" s="95" t="s">
        <v>125</v>
      </c>
      <c r="B29" s="95" t="s">
        <v>111</v>
      </c>
      <c r="C29" s="11" t="s">
        <v>114</v>
      </c>
      <c r="D29" s="11" t="s">
        <v>115</v>
      </c>
      <c r="E29" s="16">
        <v>276.5</v>
      </c>
      <c r="G29">
        <v>53</v>
      </c>
      <c r="H29">
        <f t="shared" si="0"/>
        <v>27.265555555555558</v>
      </c>
      <c r="I29">
        <f>0.5*rho_kgpm3*H29^2</f>
        <v>455.33895008565867</v>
      </c>
      <c r="J29" s="120">
        <f t="shared" si="1"/>
        <v>22241.108076302498</v>
      </c>
      <c r="K29">
        <f>I29*CL*$E$30</f>
        <v>25713.20007623448</v>
      </c>
      <c r="L29">
        <f>I29*CD*$E$30</f>
        <v>2618.3922598565532</v>
      </c>
      <c r="M29">
        <f>T_rev_N</f>
        <v>1147.6411767372092</v>
      </c>
      <c r="N29">
        <f t="shared" si="2"/>
        <v>9341.2653920470511</v>
      </c>
      <c r="O29" s="120">
        <f>(L29+M29+(mu_b*(1-0.1)+mu_u*0.1)*($E$19-K29))/(1+0.24*(mu_b-mu_u))</f>
        <v>2831.5384318792048</v>
      </c>
      <c r="P29">
        <f t="shared" si="17"/>
        <v>332.36002365781098</v>
      </c>
      <c r="Q29">
        <f t="shared" si="18"/>
        <v>0</v>
      </c>
      <c r="R29">
        <f t="shared" si="19"/>
        <v>332.36002365781098</v>
      </c>
      <c r="S29" s="120">
        <f t="shared" si="20"/>
        <v>-3472.0919999319813</v>
      </c>
      <c r="T29">
        <f>mu_b*Q29</f>
        <v>0</v>
      </c>
      <c r="U29" t="str">
        <f t="shared" si="21"/>
        <v>Friction</v>
      </c>
      <c r="V29">
        <f>(L29+M29+N29+mu_u*0.1*(J29-K29))/(1-mu_u*0.24)</f>
        <v>13248.925474333153</v>
      </c>
      <c r="W29">
        <f t="shared" si="22"/>
        <v>2831.5384318792048</v>
      </c>
      <c r="X29">
        <f t="shared" si="23"/>
        <v>332.36002365781098</v>
      </c>
      <c r="Y29">
        <f t="shared" si="24"/>
        <v>0</v>
      </c>
      <c r="Z29">
        <f>MIN(mu_b*Q29,N29)</f>
        <v>0</v>
      </c>
      <c r="AA29">
        <f>mu_u*X29</f>
        <v>16.618001182890549</v>
      </c>
      <c r="AB29">
        <f t="shared" si="25"/>
        <v>-951.11300589744815</v>
      </c>
      <c r="AC29">
        <f>g_mps2/J29*W29</f>
        <v>1.2484947363110208</v>
      </c>
      <c r="AD29">
        <f t="shared" si="12"/>
        <v>0</v>
      </c>
      <c r="AE29" s="119">
        <f t="shared" si="26"/>
        <v>13.877417266084855</v>
      </c>
    </row>
    <row r="30" spans="1:31" x14ac:dyDescent="0.25">
      <c r="A30" s="95"/>
      <c r="B30" s="95"/>
      <c r="C30" s="11" t="s">
        <v>113</v>
      </c>
      <c r="D30" s="11" t="s">
        <v>112</v>
      </c>
      <c r="E30" s="17">
        <f t="shared" ref="E30" si="34">E29*CONVERT(1,"ft","m")^2</f>
        <v>25.68769056</v>
      </c>
      <c r="G30">
        <v>53</v>
      </c>
      <c r="H30">
        <f t="shared" si="0"/>
        <v>27.265555555555558</v>
      </c>
      <c r="I30">
        <f>0.5*rho_kgpm3*H30^2</f>
        <v>455.33895008565867</v>
      </c>
      <c r="J30" s="120">
        <f t="shared" si="1"/>
        <v>22241.108076302498</v>
      </c>
      <c r="K30">
        <f>I30*CL*$E$30</f>
        <v>25713.20007623448</v>
      </c>
      <c r="L30">
        <f>I30*CD*$E$30</f>
        <v>2618.3922598565532</v>
      </c>
      <c r="M30">
        <f>T_rev_N</f>
        <v>1147.6411767372092</v>
      </c>
      <c r="N30">
        <f t="shared" si="2"/>
        <v>9341.2653920470511</v>
      </c>
      <c r="O30" s="120">
        <f>(L30+M30+(mu_b*(1-0.1)+mu_u*0.1)*($E$19-K30))/(1+0.24*(mu_b-mu_u))</f>
        <v>2831.5384318792048</v>
      </c>
      <c r="P30">
        <f t="shared" si="17"/>
        <v>332.36002365781098</v>
      </c>
      <c r="Q30">
        <f t="shared" si="18"/>
        <v>0</v>
      </c>
      <c r="R30">
        <f t="shared" si="19"/>
        <v>332.36002365781098</v>
      </c>
      <c r="S30" s="120">
        <f t="shared" si="20"/>
        <v>-3472.0919999319813</v>
      </c>
      <c r="T30">
        <f>mu_b*Q30</f>
        <v>0</v>
      </c>
      <c r="U30" t="str">
        <f t="shared" si="21"/>
        <v>Friction</v>
      </c>
      <c r="V30">
        <f>(L30+M30+N30+mu_u*0.1*(J30-K30))/(1-mu_u*0.24)</f>
        <v>13248.925474333153</v>
      </c>
      <c r="W30">
        <f t="shared" si="22"/>
        <v>2831.5384318792048</v>
      </c>
      <c r="X30">
        <f t="shared" si="23"/>
        <v>332.36002365781098</v>
      </c>
      <c r="Y30">
        <f t="shared" si="24"/>
        <v>0</v>
      </c>
      <c r="Z30">
        <f>MIN(mu_b*Q30,N30)</f>
        <v>0</v>
      </c>
      <c r="AA30">
        <f>mu_u*X30</f>
        <v>16.618001182890549</v>
      </c>
      <c r="AB30">
        <f t="shared" si="25"/>
        <v>-951.11300589744815</v>
      </c>
      <c r="AC30">
        <f>g_mps2/J30*W30</f>
        <v>1.2484947363110208</v>
      </c>
      <c r="AD30">
        <f t="shared" si="12"/>
        <v>0</v>
      </c>
      <c r="AE30" s="119">
        <f t="shared" si="26"/>
        <v>13.877417266084855</v>
      </c>
    </row>
    <row r="31" spans="1:31" x14ac:dyDescent="0.25">
      <c r="A31" s="95"/>
      <c r="B31" s="87" t="s">
        <v>144</v>
      </c>
      <c r="C31" s="11" t="s">
        <v>145</v>
      </c>
      <c r="D31" s="11" t="s">
        <v>100</v>
      </c>
      <c r="E31" s="16">
        <v>55.3</v>
      </c>
      <c r="G31">
        <v>53</v>
      </c>
      <c r="H31">
        <f t="shared" si="0"/>
        <v>27.265555555555558</v>
      </c>
      <c r="I31">
        <f>0.5*rho_kgpm3*H31^2</f>
        <v>455.33895008565867</v>
      </c>
      <c r="J31" s="120">
        <f t="shared" si="1"/>
        <v>22241.108076302498</v>
      </c>
      <c r="K31">
        <f>I31*CL*$E$30</f>
        <v>25713.20007623448</v>
      </c>
      <c r="L31">
        <f>I31*CD*$E$30</f>
        <v>2618.3922598565532</v>
      </c>
      <c r="M31">
        <f>T_rev_N</f>
        <v>1147.6411767372092</v>
      </c>
      <c r="N31">
        <f t="shared" si="2"/>
        <v>9341.2653920470511</v>
      </c>
      <c r="O31" s="120">
        <f>(L31+M31+(mu_b*(1-0.1)+mu_u*0.1)*($E$19-K31))/(1+0.24*(mu_b-mu_u))</f>
        <v>2831.5384318792048</v>
      </c>
      <c r="P31">
        <f t="shared" si="17"/>
        <v>332.36002365781098</v>
      </c>
      <c r="Q31">
        <f t="shared" si="18"/>
        <v>0</v>
      </c>
      <c r="R31">
        <f t="shared" si="19"/>
        <v>332.36002365781098</v>
      </c>
      <c r="S31" s="120">
        <f t="shared" si="20"/>
        <v>-3472.0919999319813</v>
      </c>
      <c r="T31">
        <f>mu_b*Q31</f>
        <v>0</v>
      </c>
      <c r="U31" t="str">
        <f t="shared" si="21"/>
        <v>Friction</v>
      </c>
      <c r="V31">
        <f>(L31+M31+N31+mu_u*0.1*(J31-K31))/(1-mu_u*0.24)</f>
        <v>13248.925474333153</v>
      </c>
      <c r="W31">
        <f t="shared" si="22"/>
        <v>2831.5384318792048</v>
      </c>
      <c r="X31">
        <f t="shared" si="23"/>
        <v>332.36002365781098</v>
      </c>
      <c r="Y31">
        <f t="shared" si="24"/>
        <v>0</v>
      </c>
      <c r="Z31">
        <f>MIN(mu_b*Q31,N31)</f>
        <v>0</v>
      </c>
      <c r="AA31">
        <f>mu_u*X31</f>
        <v>16.618001182890549</v>
      </c>
      <c r="AB31">
        <f t="shared" si="25"/>
        <v>-951.11300589744815</v>
      </c>
      <c r="AC31">
        <f>g_mps2/J31*W31</f>
        <v>1.2484947363110208</v>
      </c>
      <c r="AD31">
        <f t="shared" si="12"/>
        <v>0</v>
      </c>
      <c r="AE31" s="119">
        <f t="shared" si="26"/>
        <v>13.877417266084855</v>
      </c>
    </row>
    <row r="32" spans="1:31" x14ac:dyDescent="0.25">
      <c r="A32" s="95"/>
      <c r="B32" s="89"/>
      <c r="C32" s="11" t="s">
        <v>146</v>
      </c>
      <c r="D32" s="11" t="s">
        <v>106</v>
      </c>
      <c r="E32" s="17">
        <f t="shared" ref="E32" si="35">E31*CONVERT(1,"ft","m")</f>
        <v>16.855440000000002</v>
      </c>
      <c r="G32">
        <v>53</v>
      </c>
      <c r="H32">
        <f t="shared" si="0"/>
        <v>27.265555555555558</v>
      </c>
      <c r="I32">
        <f>0.5*rho_kgpm3*H32^2</f>
        <v>455.33895008565867</v>
      </c>
      <c r="J32" s="120">
        <f t="shared" si="1"/>
        <v>22241.108076302498</v>
      </c>
      <c r="K32">
        <f>I32*CL*$E$30</f>
        <v>25713.20007623448</v>
      </c>
      <c r="L32">
        <f>I32*CD*$E$30</f>
        <v>2618.3922598565532</v>
      </c>
      <c r="M32">
        <f>T_rev_N</f>
        <v>1147.6411767372092</v>
      </c>
      <c r="N32">
        <f t="shared" si="2"/>
        <v>9341.2653920470511</v>
      </c>
      <c r="O32" s="120">
        <f>(L32+M32+(mu_b*(1-0.1)+mu_u*0.1)*($E$19-K32))/(1+0.24*(mu_b-mu_u))</f>
        <v>2831.5384318792048</v>
      </c>
      <c r="P32">
        <f t="shared" si="17"/>
        <v>332.36002365781098</v>
      </c>
      <c r="Q32">
        <f t="shared" si="18"/>
        <v>0</v>
      </c>
      <c r="R32">
        <f t="shared" si="19"/>
        <v>332.36002365781098</v>
      </c>
      <c r="S32" s="120">
        <f t="shared" si="20"/>
        <v>-3472.0919999319813</v>
      </c>
      <c r="T32">
        <f>mu_b*Q32</f>
        <v>0</v>
      </c>
      <c r="U32" t="str">
        <f t="shared" si="21"/>
        <v>Friction</v>
      </c>
      <c r="V32">
        <f>(L32+M32+N32+mu_u*0.1*(J32-K32))/(1-mu_u*0.24)</f>
        <v>13248.925474333153</v>
      </c>
      <c r="W32">
        <f t="shared" si="22"/>
        <v>2831.5384318792048</v>
      </c>
      <c r="X32">
        <f t="shared" si="23"/>
        <v>332.36002365781098</v>
      </c>
      <c r="Y32">
        <f t="shared" si="24"/>
        <v>0</v>
      </c>
      <c r="Z32">
        <f>MIN(mu_b*Q32,N32)</f>
        <v>0</v>
      </c>
      <c r="AA32">
        <f>mu_u*X32</f>
        <v>16.618001182890549</v>
      </c>
      <c r="AB32">
        <f t="shared" si="25"/>
        <v>-951.11300589744815</v>
      </c>
      <c r="AC32">
        <f>g_mps2/J32*W32</f>
        <v>1.2484947363110208</v>
      </c>
      <c r="AD32">
        <f t="shared" si="12"/>
        <v>0</v>
      </c>
      <c r="AE32" s="119">
        <f t="shared" si="26"/>
        <v>13.877417266084855</v>
      </c>
    </row>
    <row r="33" spans="1:31" x14ac:dyDescent="0.25">
      <c r="A33" s="95"/>
      <c r="B33" s="90" t="s">
        <v>152</v>
      </c>
      <c r="C33" s="75" t="s">
        <v>140</v>
      </c>
      <c r="D33" s="75" t="s">
        <v>100</v>
      </c>
      <c r="E33" s="77">
        <v>5</v>
      </c>
      <c r="G33">
        <v>53</v>
      </c>
      <c r="H33">
        <f t="shared" si="0"/>
        <v>27.265555555555558</v>
      </c>
      <c r="I33">
        <f>0.5*rho_kgpm3*H33^2</f>
        <v>455.33895008565867</v>
      </c>
      <c r="J33" s="120">
        <f t="shared" si="1"/>
        <v>22241.108076302498</v>
      </c>
      <c r="K33">
        <f>I33*CL*$E$30</f>
        <v>25713.20007623448</v>
      </c>
      <c r="L33">
        <f>I33*CD*$E$30</f>
        <v>2618.3922598565532</v>
      </c>
      <c r="M33">
        <f>T_rev_N</f>
        <v>1147.6411767372092</v>
      </c>
      <c r="N33">
        <f t="shared" si="2"/>
        <v>9341.2653920470511</v>
      </c>
      <c r="O33" s="120">
        <f>(L33+M33+(mu_b*(1-0.1)+mu_u*0.1)*($E$19-K33))/(1+0.24*(mu_b-mu_u))</f>
        <v>2831.5384318792048</v>
      </c>
      <c r="P33">
        <f t="shared" si="17"/>
        <v>332.36002365781098</v>
      </c>
      <c r="Q33">
        <f t="shared" si="18"/>
        <v>0</v>
      </c>
      <c r="R33">
        <f t="shared" si="19"/>
        <v>332.36002365781098</v>
      </c>
      <c r="S33" s="120">
        <f t="shared" si="20"/>
        <v>-3472.0919999319813</v>
      </c>
      <c r="T33">
        <f>mu_b*Q33</f>
        <v>0</v>
      </c>
      <c r="U33" t="str">
        <f t="shared" si="21"/>
        <v>Friction</v>
      </c>
      <c r="V33">
        <f>(L33+M33+N33+mu_u*0.1*(J33-K33))/(1-mu_u*0.24)</f>
        <v>13248.925474333153</v>
      </c>
      <c r="W33">
        <f t="shared" si="22"/>
        <v>2831.5384318792048</v>
      </c>
      <c r="X33">
        <f t="shared" si="23"/>
        <v>332.36002365781098</v>
      </c>
      <c r="Y33">
        <f t="shared" si="24"/>
        <v>0</v>
      </c>
      <c r="Z33">
        <f>MIN(mu_b*Q33,N33)</f>
        <v>0</v>
      </c>
      <c r="AA33">
        <f>mu_u*X33</f>
        <v>16.618001182890549</v>
      </c>
      <c r="AB33">
        <f t="shared" si="25"/>
        <v>-951.11300589744815</v>
      </c>
      <c r="AC33">
        <f>g_mps2/J33*W33</f>
        <v>1.2484947363110208</v>
      </c>
      <c r="AD33">
        <f t="shared" si="12"/>
        <v>0</v>
      </c>
      <c r="AE33" s="119">
        <f t="shared" si="26"/>
        <v>13.877417266084855</v>
      </c>
    </row>
    <row r="34" spans="1:31" x14ac:dyDescent="0.25">
      <c r="A34" s="95"/>
      <c r="B34" s="91"/>
      <c r="C34" s="75" t="s">
        <v>141</v>
      </c>
      <c r="D34" s="75" t="s">
        <v>106</v>
      </c>
      <c r="E34" s="75">
        <f t="shared" ref="E34" si="36">E33*CONVERT(1,"ft","m")</f>
        <v>1.524</v>
      </c>
      <c r="G34">
        <v>53</v>
      </c>
      <c r="H34">
        <f t="shared" si="0"/>
        <v>27.265555555555558</v>
      </c>
      <c r="I34">
        <f>0.5*rho_kgpm3*H34^2</f>
        <v>455.33895008565867</v>
      </c>
      <c r="J34" s="120">
        <f t="shared" si="1"/>
        <v>22241.108076302498</v>
      </c>
      <c r="K34">
        <f>I34*CL*$E$30</f>
        <v>25713.20007623448</v>
      </c>
      <c r="L34">
        <f>I34*CD*$E$30</f>
        <v>2618.3922598565532</v>
      </c>
      <c r="M34">
        <f>T_rev_N</f>
        <v>1147.6411767372092</v>
      </c>
      <c r="N34">
        <f t="shared" si="2"/>
        <v>9341.2653920470511</v>
      </c>
      <c r="O34" s="120">
        <f>(L34+M34+(mu_b*(1-0.1)+mu_u*0.1)*($E$19-K34))/(1+0.24*(mu_b-mu_u))</f>
        <v>2831.5384318792048</v>
      </c>
      <c r="P34">
        <f t="shared" si="17"/>
        <v>332.36002365781098</v>
      </c>
      <c r="Q34">
        <f t="shared" si="18"/>
        <v>0</v>
      </c>
      <c r="R34">
        <f t="shared" si="19"/>
        <v>332.36002365781098</v>
      </c>
      <c r="S34" s="120">
        <f t="shared" si="20"/>
        <v>-3472.0919999319813</v>
      </c>
      <c r="T34">
        <f>mu_b*Q34</f>
        <v>0</v>
      </c>
      <c r="U34" t="str">
        <f t="shared" si="21"/>
        <v>Friction</v>
      </c>
      <c r="V34">
        <f>(L34+M34+N34+mu_u*0.1*(J34-K34))/(1-mu_u*0.24)</f>
        <v>13248.925474333153</v>
      </c>
      <c r="W34">
        <f t="shared" si="22"/>
        <v>2831.5384318792048</v>
      </c>
      <c r="X34">
        <f t="shared" si="23"/>
        <v>332.36002365781098</v>
      </c>
      <c r="Y34">
        <f t="shared" si="24"/>
        <v>0</v>
      </c>
      <c r="Z34">
        <f>MIN(mu_b*Q34,N34)</f>
        <v>0</v>
      </c>
      <c r="AA34">
        <f>mu_u*X34</f>
        <v>16.618001182890549</v>
      </c>
      <c r="AB34">
        <f t="shared" si="25"/>
        <v>-951.11300589744815</v>
      </c>
      <c r="AC34">
        <f>g_mps2/J34*W34</f>
        <v>1.2484947363110208</v>
      </c>
      <c r="AD34">
        <f t="shared" si="12"/>
        <v>0</v>
      </c>
      <c r="AE34" s="119">
        <f t="shared" si="26"/>
        <v>13.877417266084855</v>
      </c>
    </row>
    <row r="35" spans="1:31" x14ac:dyDescent="0.25">
      <c r="A35" s="95"/>
      <c r="B35" s="12" t="s">
        <v>142</v>
      </c>
      <c r="C35" s="11" t="s">
        <v>143</v>
      </c>
      <c r="D35" s="11" t="s">
        <v>18</v>
      </c>
      <c r="E35" s="11">
        <f t="shared" ref="E35" si="37">E32^2/E30</f>
        <v>11.06</v>
      </c>
      <c r="G35">
        <v>53</v>
      </c>
      <c r="H35">
        <f t="shared" si="0"/>
        <v>27.265555555555558</v>
      </c>
      <c r="I35">
        <f>0.5*rho_kgpm3*H35^2</f>
        <v>455.33895008565867</v>
      </c>
      <c r="J35" s="120">
        <f t="shared" si="1"/>
        <v>22241.108076302498</v>
      </c>
      <c r="K35">
        <f>I35*CL*$E$30</f>
        <v>25713.20007623448</v>
      </c>
      <c r="L35">
        <f>I35*CD*$E$30</f>
        <v>2618.3922598565532</v>
      </c>
      <c r="M35">
        <f>T_rev_N</f>
        <v>1147.6411767372092</v>
      </c>
      <c r="N35">
        <f t="shared" si="2"/>
        <v>9341.2653920470511</v>
      </c>
      <c r="O35" s="120">
        <f>(L35+M35+(mu_b*(1-0.1)+mu_u*0.1)*($E$19-K35))/(1+0.24*(mu_b-mu_u))</f>
        <v>2831.5384318792048</v>
      </c>
      <c r="P35">
        <f t="shared" si="17"/>
        <v>332.36002365781098</v>
      </c>
      <c r="Q35">
        <f t="shared" si="18"/>
        <v>0</v>
      </c>
      <c r="R35">
        <f t="shared" si="19"/>
        <v>332.36002365781098</v>
      </c>
      <c r="S35" s="120">
        <f t="shared" si="20"/>
        <v>-3472.0919999319813</v>
      </c>
      <c r="T35">
        <f>mu_b*Q35</f>
        <v>0</v>
      </c>
      <c r="U35" t="str">
        <f t="shared" si="21"/>
        <v>Friction</v>
      </c>
      <c r="V35">
        <f>(L35+M35+N35+mu_u*0.1*(J35-K35))/(1-mu_u*0.24)</f>
        <v>13248.925474333153</v>
      </c>
      <c r="W35">
        <f t="shared" si="22"/>
        <v>2831.5384318792048</v>
      </c>
      <c r="X35">
        <f t="shared" si="23"/>
        <v>332.36002365781098</v>
      </c>
      <c r="Y35">
        <f t="shared" si="24"/>
        <v>0</v>
      </c>
      <c r="Z35">
        <f>MIN(mu_b*Q35,N35)</f>
        <v>0</v>
      </c>
      <c r="AA35">
        <f>mu_u*X35</f>
        <v>16.618001182890549</v>
      </c>
      <c r="AB35">
        <f t="shared" si="25"/>
        <v>-951.11300589744815</v>
      </c>
      <c r="AC35">
        <f>g_mps2/J35*W35</f>
        <v>1.2484947363110208</v>
      </c>
      <c r="AD35">
        <f t="shared" si="12"/>
        <v>0</v>
      </c>
      <c r="AE35" s="119">
        <f t="shared" si="26"/>
        <v>13.877417266084855</v>
      </c>
    </row>
    <row r="36" spans="1:31" x14ac:dyDescent="0.25">
      <c r="A36" s="95"/>
      <c r="B36" s="74" t="s">
        <v>126</v>
      </c>
      <c r="C36" s="74" t="s">
        <v>129</v>
      </c>
      <c r="D36" s="74" t="s">
        <v>127</v>
      </c>
      <c r="E36" s="74">
        <v>10</v>
      </c>
      <c r="G36">
        <v>53</v>
      </c>
      <c r="H36">
        <f t="shared" si="0"/>
        <v>27.265555555555558</v>
      </c>
      <c r="I36">
        <f>0.5*rho_kgpm3*H36^2</f>
        <v>455.33895008565867</v>
      </c>
      <c r="J36" s="120">
        <f t="shared" si="1"/>
        <v>22241.108076302498</v>
      </c>
      <c r="K36">
        <f>I36*CL*$E$30</f>
        <v>25713.20007623448</v>
      </c>
      <c r="L36">
        <f>I36*CD*$E$30</f>
        <v>2618.3922598565532</v>
      </c>
      <c r="M36">
        <f>T_rev_N</f>
        <v>1147.6411767372092</v>
      </c>
      <c r="N36">
        <f t="shared" si="2"/>
        <v>9341.2653920470511</v>
      </c>
      <c r="O36" s="120">
        <f>(L36+M36+(mu_b*(1-0.1)+mu_u*0.1)*($E$19-K36))/(1+0.24*(mu_b-mu_u))</f>
        <v>2831.5384318792048</v>
      </c>
      <c r="P36">
        <f t="shared" si="17"/>
        <v>332.36002365781098</v>
      </c>
      <c r="Q36">
        <f t="shared" si="18"/>
        <v>0</v>
      </c>
      <c r="R36">
        <f t="shared" si="19"/>
        <v>332.36002365781098</v>
      </c>
      <c r="S36" s="120">
        <f t="shared" si="20"/>
        <v>-3472.0919999319813</v>
      </c>
      <c r="T36">
        <f>mu_b*Q36</f>
        <v>0</v>
      </c>
      <c r="U36" t="str">
        <f t="shared" si="21"/>
        <v>Friction</v>
      </c>
      <c r="V36">
        <f>(L36+M36+N36+mu_u*0.1*(J36-K36))/(1-mu_u*0.24)</f>
        <v>13248.925474333153</v>
      </c>
      <c r="W36">
        <f t="shared" si="22"/>
        <v>2831.5384318792048</v>
      </c>
      <c r="X36">
        <f t="shared" si="23"/>
        <v>332.36002365781098</v>
      </c>
      <c r="Y36">
        <f t="shared" si="24"/>
        <v>0</v>
      </c>
      <c r="Z36">
        <f>MIN(mu_b*Q36,N36)</f>
        <v>0</v>
      </c>
      <c r="AA36">
        <f>mu_u*X36</f>
        <v>16.618001182890549</v>
      </c>
      <c r="AB36">
        <f t="shared" si="25"/>
        <v>-951.11300589744815</v>
      </c>
      <c r="AC36">
        <f>g_mps2/J36*W36</f>
        <v>1.2484947363110208</v>
      </c>
      <c r="AD36">
        <f t="shared" si="12"/>
        <v>0</v>
      </c>
      <c r="AE36" s="119">
        <f t="shared" si="26"/>
        <v>13.877417266084855</v>
      </c>
    </row>
    <row r="37" spans="1:31" x14ac:dyDescent="0.25">
      <c r="A37" s="95"/>
      <c r="B37" s="74" t="s">
        <v>128</v>
      </c>
      <c r="C37" s="74" t="s">
        <v>130</v>
      </c>
      <c r="D37" s="74" t="s">
        <v>127</v>
      </c>
      <c r="E37" s="74">
        <v>30</v>
      </c>
      <c r="G37">
        <v>53</v>
      </c>
      <c r="H37">
        <f t="shared" si="0"/>
        <v>27.265555555555558</v>
      </c>
      <c r="I37">
        <f>0.5*rho_kgpm3*H37^2</f>
        <v>455.33895008565867</v>
      </c>
      <c r="J37" s="120">
        <f t="shared" si="1"/>
        <v>22241.108076302498</v>
      </c>
      <c r="K37">
        <f>I37*CL*$E$30</f>
        <v>25713.20007623448</v>
      </c>
      <c r="L37">
        <f>I37*CD*$E$30</f>
        <v>2618.3922598565532</v>
      </c>
      <c r="M37">
        <f>T_rev_N</f>
        <v>1147.6411767372092</v>
      </c>
      <c r="N37">
        <f t="shared" si="2"/>
        <v>9341.2653920470511</v>
      </c>
      <c r="O37" s="120">
        <f>(L37+M37+(mu_b*(1-0.1)+mu_u*0.1)*($E$19-K37))/(1+0.24*(mu_b-mu_u))</f>
        <v>2831.5384318792048</v>
      </c>
      <c r="P37">
        <f t="shared" si="17"/>
        <v>332.36002365781098</v>
      </c>
      <c r="Q37">
        <f t="shared" si="18"/>
        <v>0</v>
      </c>
      <c r="R37">
        <f t="shared" si="19"/>
        <v>332.36002365781098</v>
      </c>
      <c r="S37" s="120">
        <f t="shared" si="20"/>
        <v>-3472.0919999319813</v>
      </c>
      <c r="T37">
        <f>mu_b*Q37</f>
        <v>0</v>
      </c>
      <c r="U37" t="str">
        <f t="shared" si="21"/>
        <v>Friction</v>
      </c>
      <c r="V37">
        <f>(L37+M37+N37+mu_u*0.1*(J37-K37))/(1-mu_u*0.24)</f>
        <v>13248.925474333153</v>
      </c>
      <c r="W37">
        <f t="shared" si="22"/>
        <v>2831.5384318792048</v>
      </c>
      <c r="X37">
        <f t="shared" si="23"/>
        <v>332.36002365781098</v>
      </c>
      <c r="Y37">
        <f t="shared" si="24"/>
        <v>0</v>
      </c>
      <c r="Z37">
        <f>MIN(mu_b*Q37,N37)</f>
        <v>0</v>
      </c>
      <c r="AA37">
        <f>mu_u*X37</f>
        <v>16.618001182890549</v>
      </c>
      <c r="AB37">
        <f t="shared" si="25"/>
        <v>-951.11300589744815</v>
      </c>
      <c r="AC37">
        <f>g_mps2/J37*W37</f>
        <v>1.2484947363110208</v>
      </c>
      <c r="AD37">
        <f t="shared" si="12"/>
        <v>0</v>
      </c>
      <c r="AE37" s="119">
        <f t="shared" si="26"/>
        <v>13.877417266084855</v>
      </c>
    </row>
    <row r="38" spans="1:31" x14ac:dyDescent="0.25">
      <c r="A38" s="95"/>
      <c r="B38" s="76" t="s">
        <v>137</v>
      </c>
      <c r="C38" s="11" t="s">
        <v>147</v>
      </c>
      <c r="D38" s="11" t="s">
        <v>18</v>
      </c>
      <c r="E38" s="16">
        <v>2.66</v>
      </c>
      <c r="G38">
        <v>53</v>
      </c>
      <c r="H38">
        <f t="shared" si="0"/>
        <v>27.265555555555558</v>
      </c>
      <c r="I38">
        <f>0.5*rho_kgpm3*H38^2</f>
        <v>455.33895008565867</v>
      </c>
      <c r="J38" s="120">
        <f t="shared" si="1"/>
        <v>22241.108076302498</v>
      </c>
      <c r="K38">
        <f>I38*CL*$E$30</f>
        <v>25713.20007623448</v>
      </c>
      <c r="L38">
        <f>I38*CD*$E$30</f>
        <v>2618.3922598565532</v>
      </c>
      <c r="M38">
        <f>T_rev_N</f>
        <v>1147.6411767372092</v>
      </c>
      <c r="N38">
        <f t="shared" si="2"/>
        <v>9341.2653920470511</v>
      </c>
      <c r="O38" s="120">
        <f>(L38+M38+(mu_b*(1-0.1)+mu_u*0.1)*($E$19-K38))/(1+0.24*(mu_b-mu_u))</f>
        <v>2831.5384318792048</v>
      </c>
      <c r="P38">
        <f t="shared" si="17"/>
        <v>332.36002365781098</v>
      </c>
      <c r="Q38">
        <f t="shared" si="18"/>
        <v>0</v>
      </c>
      <c r="R38">
        <f t="shared" si="19"/>
        <v>332.36002365781098</v>
      </c>
      <c r="S38" s="120">
        <f t="shared" si="20"/>
        <v>-3472.0919999319813</v>
      </c>
      <c r="T38">
        <f>mu_b*Q38</f>
        <v>0</v>
      </c>
      <c r="U38" t="str">
        <f t="shared" si="21"/>
        <v>Friction</v>
      </c>
      <c r="V38">
        <f>(L38+M38+N38+mu_u*0.1*(J38-K38))/(1-mu_u*0.24)</f>
        <v>13248.925474333153</v>
      </c>
      <c r="W38">
        <f t="shared" si="22"/>
        <v>2831.5384318792048</v>
      </c>
      <c r="X38">
        <f t="shared" si="23"/>
        <v>332.36002365781098</v>
      </c>
      <c r="Y38">
        <f t="shared" si="24"/>
        <v>0</v>
      </c>
      <c r="Z38">
        <f>MIN(mu_b*Q38,N38)</f>
        <v>0</v>
      </c>
      <c r="AA38">
        <f>mu_u*X38</f>
        <v>16.618001182890549</v>
      </c>
      <c r="AB38">
        <f t="shared" si="25"/>
        <v>-951.11300589744815</v>
      </c>
      <c r="AC38">
        <f>g_mps2/J38*W38</f>
        <v>1.2484947363110208</v>
      </c>
      <c r="AD38">
        <f t="shared" si="12"/>
        <v>0</v>
      </c>
      <c r="AE38" s="119">
        <f t="shared" si="26"/>
        <v>13.877417266084855</v>
      </c>
    </row>
    <row r="39" spans="1:31" x14ac:dyDescent="0.25">
      <c r="A39" s="95"/>
      <c r="B39" s="76" t="s">
        <v>154</v>
      </c>
      <c r="C39" s="11" t="s">
        <v>154</v>
      </c>
      <c r="D39" s="11"/>
      <c r="E39" s="16">
        <f t="shared" ref="E39" si="38">E38/E24^2</f>
        <v>2.1983471074380163</v>
      </c>
      <c r="G39">
        <v>53</v>
      </c>
      <c r="H39">
        <f t="shared" si="0"/>
        <v>27.265555555555558</v>
      </c>
      <c r="I39">
        <f>0.5*rho_kgpm3*H39^2</f>
        <v>455.33895008565867</v>
      </c>
      <c r="J39" s="120">
        <f t="shared" si="1"/>
        <v>22241.108076302498</v>
      </c>
      <c r="K39">
        <f>I39*CL*$E$30</f>
        <v>25713.20007623448</v>
      </c>
      <c r="L39">
        <f>I39*CD*$E$30</f>
        <v>2618.3922598565532</v>
      </c>
      <c r="M39">
        <f>T_rev_N</f>
        <v>1147.6411767372092</v>
      </c>
      <c r="N39">
        <f t="shared" si="2"/>
        <v>9341.2653920470511</v>
      </c>
      <c r="O39" s="120">
        <f>(L39+M39+(mu_b*(1-0.1)+mu_u*0.1)*($E$19-K39))/(1+0.24*(mu_b-mu_u))</f>
        <v>2831.5384318792048</v>
      </c>
      <c r="P39">
        <f t="shared" si="17"/>
        <v>332.36002365781098</v>
      </c>
      <c r="Q39">
        <f t="shared" si="18"/>
        <v>0</v>
      </c>
      <c r="R39">
        <f t="shared" si="19"/>
        <v>332.36002365781098</v>
      </c>
      <c r="S39" s="120">
        <f t="shared" si="20"/>
        <v>-3472.0919999319813</v>
      </c>
      <c r="T39">
        <f>mu_b*Q39</f>
        <v>0</v>
      </c>
      <c r="U39" t="str">
        <f t="shared" si="21"/>
        <v>Friction</v>
      </c>
      <c r="V39">
        <f>(L39+M39+N39+mu_u*0.1*(J39-K39))/(1-mu_u*0.24)</f>
        <v>13248.925474333153</v>
      </c>
      <c r="W39">
        <f t="shared" si="22"/>
        <v>2831.5384318792048</v>
      </c>
      <c r="X39">
        <f t="shared" si="23"/>
        <v>332.36002365781098</v>
      </c>
      <c r="Y39">
        <f t="shared" si="24"/>
        <v>0</v>
      </c>
      <c r="Z39">
        <f>MIN(mu_b*Q39,N39)</f>
        <v>0</v>
      </c>
      <c r="AA39">
        <f>mu_u*X39</f>
        <v>16.618001182890549</v>
      </c>
      <c r="AB39">
        <f t="shared" si="25"/>
        <v>-951.11300589744815</v>
      </c>
      <c r="AC39">
        <f>g_mps2/J39*W39</f>
        <v>1.2484947363110208</v>
      </c>
      <c r="AD39">
        <f t="shared" si="12"/>
        <v>0</v>
      </c>
      <c r="AE39" s="119">
        <f t="shared" si="26"/>
        <v>13.877417266084855</v>
      </c>
    </row>
    <row r="40" spans="1:31" x14ac:dyDescent="0.25">
      <c r="A40" s="95"/>
      <c r="B40" s="11" t="s">
        <v>136</v>
      </c>
      <c r="C40" s="11" t="s">
        <v>148</v>
      </c>
      <c r="D40" s="11" t="s">
        <v>18</v>
      </c>
      <c r="E40" s="11">
        <v>0.05</v>
      </c>
      <c r="G40">
        <v>53</v>
      </c>
      <c r="H40">
        <f t="shared" si="0"/>
        <v>27.265555555555558</v>
      </c>
      <c r="I40">
        <f>0.5*rho_kgpm3*H40^2</f>
        <v>455.33895008565867</v>
      </c>
      <c r="J40" s="120">
        <f t="shared" si="1"/>
        <v>22241.108076302498</v>
      </c>
      <c r="K40">
        <f>I40*CL*$E$30</f>
        <v>25713.20007623448</v>
      </c>
      <c r="L40">
        <f>I40*CD*$E$30</f>
        <v>2618.3922598565532</v>
      </c>
      <c r="M40">
        <f>T_rev_N</f>
        <v>1147.6411767372092</v>
      </c>
      <c r="N40">
        <f t="shared" si="2"/>
        <v>9341.2653920470511</v>
      </c>
      <c r="O40" s="120">
        <f>(L40+M40+(mu_b*(1-0.1)+mu_u*0.1)*($E$19-K40))/(1+0.24*(mu_b-mu_u))</f>
        <v>2831.5384318792048</v>
      </c>
      <c r="P40">
        <f t="shared" si="17"/>
        <v>332.36002365781098</v>
      </c>
      <c r="Q40">
        <f t="shared" si="18"/>
        <v>0</v>
      </c>
      <c r="R40">
        <f t="shared" si="19"/>
        <v>332.36002365781098</v>
      </c>
      <c r="S40" s="120">
        <f t="shared" si="20"/>
        <v>-3472.0919999319813</v>
      </c>
      <c r="T40">
        <f>mu_b*Q40</f>
        <v>0</v>
      </c>
      <c r="U40" t="str">
        <f t="shared" si="21"/>
        <v>Friction</v>
      </c>
      <c r="V40">
        <f>(L40+M40+N40+mu_u*0.1*(J40-K40))/(1-mu_u*0.24)</f>
        <v>13248.925474333153</v>
      </c>
      <c r="W40">
        <f t="shared" si="22"/>
        <v>2831.5384318792048</v>
      </c>
      <c r="X40">
        <f t="shared" si="23"/>
        <v>332.36002365781098</v>
      </c>
      <c r="Y40">
        <f t="shared" si="24"/>
        <v>0</v>
      </c>
      <c r="Z40">
        <f>MIN(mu_b*Q40,N40)</f>
        <v>0</v>
      </c>
      <c r="AA40">
        <f>mu_u*X40</f>
        <v>16.618001182890549</v>
      </c>
      <c r="AB40">
        <f t="shared" si="25"/>
        <v>-951.11300589744815</v>
      </c>
      <c r="AC40">
        <f>g_mps2/J40*W40</f>
        <v>1.2484947363110208</v>
      </c>
      <c r="AD40">
        <f t="shared" si="12"/>
        <v>0</v>
      </c>
      <c r="AE40" s="119">
        <f t="shared" si="26"/>
        <v>13.877417266084855</v>
      </c>
    </row>
    <row r="41" spans="1:31" x14ac:dyDescent="0.25">
      <c r="A41" s="95"/>
      <c r="B41" s="12" t="s">
        <v>236</v>
      </c>
      <c r="C41" s="11" t="s">
        <v>235</v>
      </c>
      <c r="D41" s="11"/>
      <c r="E41" s="16">
        <v>0.8</v>
      </c>
      <c r="G41">
        <v>53</v>
      </c>
      <c r="H41">
        <f t="shared" si="0"/>
        <v>27.265555555555558</v>
      </c>
      <c r="I41">
        <f>0.5*rho_kgpm3*H41^2</f>
        <v>455.33895008565867</v>
      </c>
      <c r="J41" s="120">
        <f t="shared" si="1"/>
        <v>22241.108076302498</v>
      </c>
      <c r="K41">
        <f>I41*CL*$E$30</f>
        <v>25713.20007623448</v>
      </c>
      <c r="L41">
        <f>I41*CD*$E$30</f>
        <v>2618.3922598565532</v>
      </c>
      <c r="M41">
        <f>T_rev_N</f>
        <v>1147.6411767372092</v>
      </c>
      <c r="N41">
        <f t="shared" si="2"/>
        <v>9341.2653920470511</v>
      </c>
      <c r="O41" s="120">
        <f>(L41+M41+(mu_b*(1-0.1)+mu_u*0.1)*($E$19-K41))/(1+0.24*(mu_b-mu_u))</f>
        <v>2831.5384318792048</v>
      </c>
      <c r="P41">
        <f t="shared" si="17"/>
        <v>332.36002365781098</v>
      </c>
      <c r="Q41">
        <f t="shared" si="18"/>
        <v>0</v>
      </c>
      <c r="R41">
        <f t="shared" si="19"/>
        <v>332.36002365781098</v>
      </c>
      <c r="S41" s="120">
        <f t="shared" si="20"/>
        <v>-3472.0919999319813</v>
      </c>
      <c r="T41">
        <f>mu_b*Q41</f>
        <v>0</v>
      </c>
      <c r="U41" t="str">
        <f t="shared" si="21"/>
        <v>Friction</v>
      </c>
      <c r="V41">
        <f>(L41+M41+N41+mu_u*0.1*(J41-K41))/(1-mu_u*0.24)</f>
        <v>13248.925474333153</v>
      </c>
      <c r="W41">
        <f t="shared" si="22"/>
        <v>2831.5384318792048</v>
      </c>
      <c r="X41">
        <f t="shared" si="23"/>
        <v>332.36002365781098</v>
      </c>
      <c r="Y41">
        <f t="shared" si="24"/>
        <v>0</v>
      </c>
      <c r="Z41">
        <f>MIN(mu_b*Q41,N41)</f>
        <v>0</v>
      </c>
      <c r="AA41">
        <f>mu_u*X41</f>
        <v>16.618001182890549</v>
      </c>
      <c r="AB41">
        <f t="shared" si="25"/>
        <v>-951.11300589744815</v>
      </c>
      <c r="AC41">
        <f>g_mps2/J41*W41</f>
        <v>1.2484947363110208</v>
      </c>
      <c r="AD41">
        <f t="shared" si="12"/>
        <v>0</v>
      </c>
      <c r="AE41" s="119">
        <f t="shared" si="26"/>
        <v>13.877417266084855</v>
      </c>
    </row>
    <row r="42" spans="1:31" x14ac:dyDescent="0.25">
      <c r="A42" s="95"/>
      <c r="B42" s="11" t="s">
        <v>239</v>
      </c>
      <c r="C42" s="11" t="s">
        <v>172</v>
      </c>
      <c r="D42" s="11" t="s">
        <v>18</v>
      </c>
      <c r="E42" s="17">
        <f t="shared" ref="E42" si="39">1/(PI()*E41*E35)</f>
        <v>3.5975348800157174E-2</v>
      </c>
      <c r="G42">
        <v>53</v>
      </c>
      <c r="H42">
        <f t="shared" si="0"/>
        <v>27.265555555555558</v>
      </c>
      <c r="I42">
        <f>0.5*rho_kgpm3*H42^2</f>
        <v>455.33895008565867</v>
      </c>
      <c r="J42" s="120">
        <f t="shared" si="1"/>
        <v>22241.108076302498</v>
      </c>
      <c r="K42">
        <f>I42*CL*$E$30</f>
        <v>25713.20007623448</v>
      </c>
      <c r="L42">
        <f>I42*CD*$E$30</f>
        <v>2618.3922598565532</v>
      </c>
      <c r="M42">
        <f>T_rev_N</f>
        <v>1147.6411767372092</v>
      </c>
      <c r="N42">
        <f t="shared" si="2"/>
        <v>9341.2653920470511</v>
      </c>
      <c r="O42" s="120">
        <f>(L42+M42+(mu_b*(1-0.1)+mu_u*0.1)*($E$19-K42))/(1+0.24*(mu_b-mu_u))</f>
        <v>2831.5384318792048</v>
      </c>
      <c r="P42">
        <f t="shared" si="17"/>
        <v>332.36002365781098</v>
      </c>
      <c r="Q42">
        <f t="shared" si="18"/>
        <v>0</v>
      </c>
      <c r="R42">
        <f t="shared" si="19"/>
        <v>332.36002365781098</v>
      </c>
      <c r="S42" s="120">
        <f t="shared" si="20"/>
        <v>-3472.0919999319813</v>
      </c>
      <c r="T42">
        <f>mu_b*Q42</f>
        <v>0</v>
      </c>
      <c r="U42" t="str">
        <f t="shared" si="21"/>
        <v>Friction</v>
      </c>
      <c r="V42">
        <f>(L42+M42+N42+mu_u*0.1*(J42-K42))/(1-mu_u*0.24)</f>
        <v>13248.925474333153</v>
      </c>
      <c r="W42">
        <f t="shared" si="22"/>
        <v>2831.5384318792048</v>
      </c>
      <c r="X42">
        <f t="shared" si="23"/>
        <v>332.36002365781098</v>
      </c>
      <c r="Y42">
        <f t="shared" si="24"/>
        <v>0</v>
      </c>
      <c r="Z42">
        <f>MIN(mu_b*Q42,N42)</f>
        <v>0</v>
      </c>
      <c r="AA42">
        <f>mu_u*X42</f>
        <v>16.618001182890549</v>
      </c>
      <c r="AB42">
        <f t="shared" si="25"/>
        <v>-951.11300589744815</v>
      </c>
      <c r="AC42">
        <f>g_mps2/J42*W42</f>
        <v>1.2484947363110208</v>
      </c>
      <c r="AD42">
        <f t="shared" si="12"/>
        <v>0</v>
      </c>
      <c r="AE42" s="119">
        <f t="shared" si="26"/>
        <v>13.877417266084855</v>
      </c>
    </row>
    <row r="43" spans="1:31" x14ac:dyDescent="0.25">
      <c r="A43" s="95"/>
      <c r="B43" s="11" t="s">
        <v>307</v>
      </c>
      <c r="C43" s="11" t="s">
        <v>307</v>
      </c>
      <c r="D43" s="11" t="s">
        <v>18</v>
      </c>
      <c r="E43" s="17">
        <f t="shared" ref="E43" si="40">E40+E42*E39^2</f>
        <v>0.22385914757898506</v>
      </c>
      <c r="G43">
        <v>53</v>
      </c>
      <c r="H43">
        <f t="shared" si="0"/>
        <v>27.265555555555558</v>
      </c>
      <c r="I43">
        <f>0.5*rho_kgpm3*H43^2</f>
        <v>455.33895008565867</v>
      </c>
      <c r="J43" s="120">
        <f t="shared" si="1"/>
        <v>22241.108076302498</v>
      </c>
      <c r="K43">
        <f>I43*CL*$E$30</f>
        <v>25713.20007623448</v>
      </c>
      <c r="L43">
        <f>I43*CD*$E$30</f>
        <v>2618.3922598565532</v>
      </c>
      <c r="M43">
        <f>T_rev_N</f>
        <v>1147.6411767372092</v>
      </c>
      <c r="N43">
        <f t="shared" si="2"/>
        <v>9341.2653920470511</v>
      </c>
      <c r="O43" s="120">
        <f>(L43+M43+(mu_b*(1-0.1)+mu_u*0.1)*($E$19-K43))/(1+0.24*(mu_b-mu_u))</f>
        <v>2831.5384318792048</v>
      </c>
      <c r="P43">
        <f t="shared" si="17"/>
        <v>332.36002365781098</v>
      </c>
      <c r="Q43">
        <f t="shared" si="18"/>
        <v>0</v>
      </c>
      <c r="R43">
        <f t="shared" si="19"/>
        <v>332.36002365781098</v>
      </c>
      <c r="S43" s="120">
        <f t="shared" si="20"/>
        <v>-3472.0919999319813</v>
      </c>
      <c r="T43">
        <f>mu_b*Q43</f>
        <v>0</v>
      </c>
      <c r="U43" t="str">
        <f t="shared" si="21"/>
        <v>Friction</v>
      </c>
      <c r="V43">
        <f>(L43+M43+N43+mu_u*0.1*(J43-K43))/(1-mu_u*0.24)</f>
        <v>13248.925474333153</v>
      </c>
      <c r="W43">
        <f t="shared" si="22"/>
        <v>2831.5384318792048</v>
      </c>
      <c r="X43">
        <f t="shared" si="23"/>
        <v>332.36002365781098</v>
      </c>
      <c r="Y43">
        <f t="shared" si="24"/>
        <v>0</v>
      </c>
      <c r="Z43">
        <f>MIN(mu_b*Q43,N43)</f>
        <v>0</v>
      </c>
      <c r="AA43">
        <f>mu_u*X43</f>
        <v>16.618001182890549</v>
      </c>
      <c r="AB43">
        <f t="shared" si="25"/>
        <v>-951.11300589744815</v>
      </c>
      <c r="AC43">
        <f>g_mps2/J43*W43</f>
        <v>1.2484947363110208</v>
      </c>
      <c r="AD43">
        <f t="shared" si="12"/>
        <v>0</v>
      </c>
      <c r="AE43" s="119">
        <f t="shared" si="26"/>
        <v>13.877417266084855</v>
      </c>
    </row>
    <row r="44" spans="1:31" x14ac:dyDescent="0.25">
      <c r="A44" s="95"/>
      <c r="B44" s="73" t="s">
        <v>385</v>
      </c>
      <c r="C44" s="11" t="s">
        <v>383</v>
      </c>
      <c r="D44" s="11" t="s">
        <v>384</v>
      </c>
      <c r="E44" s="15">
        <f>MIN(467,504*(E10/101325)*SQRT(E8/288.15))</f>
        <v>467</v>
      </c>
      <c r="G44">
        <v>53</v>
      </c>
      <c r="H44">
        <f t="shared" si="0"/>
        <v>27.265555555555558</v>
      </c>
      <c r="I44">
        <f>0.5*rho_kgpm3*H44^2</f>
        <v>455.33895008565867</v>
      </c>
      <c r="J44" s="120">
        <f t="shared" si="1"/>
        <v>22241.108076302498</v>
      </c>
      <c r="K44">
        <f>I44*CL*$E$30</f>
        <v>25713.20007623448</v>
      </c>
      <c r="L44">
        <f>I44*CD*$E$30</f>
        <v>2618.3922598565532</v>
      </c>
      <c r="M44">
        <f>T_rev_N</f>
        <v>1147.6411767372092</v>
      </c>
      <c r="N44">
        <f t="shared" si="2"/>
        <v>9341.2653920470511</v>
      </c>
      <c r="O44" s="120">
        <f>(L44+M44+(mu_b*(1-0.1)+mu_u*0.1)*($E$19-K44))/(1+0.24*(mu_b-mu_u))</f>
        <v>2831.5384318792048</v>
      </c>
      <c r="P44">
        <f t="shared" si="17"/>
        <v>332.36002365781098</v>
      </c>
      <c r="Q44">
        <f t="shared" si="18"/>
        <v>0</v>
      </c>
      <c r="R44">
        <f t="shared" si="19"/>
        <v>332.36002365781098</v>
      </c>
      <c r="S44" s="120">
        <f t="shared" si="20"/>
        <v>-3472.0919999319813</v>
      </c>
      <c r="T44">
        <f>mu_b*Q44</f>
        <v>0</v>
      </c>
      <c r="U44" t="str">
        <f t="shared" si="21"/>
        <v>Friction</v>
      </c>
      <c r="V44">
        <f>(L44+M44+N44+mu_u*0.1*(J44-K44))/(1-mu_u*0.24)</f>
        <v>13248.925474333153</v>
      </c>
      <c r="W44">
        <f t="shared" si="22"/>
        <v>2831.5384318792048</v>
      </c>
      <c r="X44">
        <f t="shared" si="23"/>
        <v>332.36002365781098</v>
      </c>
      <c r="Y44">
        <f t="shared" si="24"/>
        <v>0</v>
      </c>
      <c r="Z44">
        <f>MIN(mu_b*Q44,N44)</f>
        <v>0</v>
      </c>
      <c r="AA44">
        <f>mu_u*X44</f>
        <v>16.618001182890549</v>
      </c>
      <c r="AB44">
        <f t="shared" si="25"/>
        <v>-951.11300589744815</v>
      </c>
      <c r="AC44">
        <f>g_mps2/J44*W44</f>
        <v>1.2484947363110208</v>
      </c>
      <c r="AD44">
        <f t="shared" si="12"/>
        <v>0</v>
      </c>
      <c r="AE44" s="119">
        <f t="shared" si="26"/>
        <v>13.877417266084855</v>
      </c>
    </row>
    <row r="45" spans="1:31" x14ac:dyDescent="0.25">
      <c r="A45" s="95"/>
      <c r="B45" s="73" t="s">
        <v>386</v>
      </c>
      <c r="C45" s="11" t="s">
        <v>388</v>
      </c>
      <c r="D45" s="11"/>
      <c r="E45" s="15">
        <f>0.94*(1978.9+9.25*E25-0.424444*E25^2+0.00303704*E25^3)</f>
        <v>1613.7288136264588</v>
      </c>
      <c r="G45">
        <v>53</v>
      </c>
      <c r="H45">
        <f t="shared" si="0"/>
        <v>27.265555555555558</v>
      </c>
      <c r="I45">
        <f>0.5*rho_kgpm3*H45^2</f>
        <v>455.33895008565867</v>
      </c>
      <c r="J45" s="120">
        <f t="shared" si="1"/>
        <v>22241.108076302498</v>
      </c>
      <c r="K45">
        <f>I45*CL*$E$30</f>
        <v>25713.20007623448</v>
      </c>
      <c r="L45">
        <f>I45*CD*$E$30</f>
        <v>2618.3922598565532</v>
      </c>
      <c r="M45">
        <f>T_rev_N</f>
        <v>1147.6411767372092</v>
      </c>
      <c r="N45">
        <f t="shared" si="2"/>
        <v>9341.2653920470511</v>
      </c>
      <c r="O45" s="120">
        <f>(L45+M45+(mu_b*(1-0.1)+mu_u*0.1)*($E$19-K45))/(1+0.24*(mu_b-mu_u))</f>
        <v>2831.5384318792048</v>
      </c>
      <c r="P45">
        <f t="shared" si="17"/>
        <v>332.36002365781098</v>
      </c>
      <c r="Q45">
        <f t="shared" si="18"/>
        <v>0</v>
      </c>
      <c r="R45">
        <f t="shared" si="19"/>
        <v>332.36002365781098</v>
      </c>
      <c r="S45" s="120">
        <f t="shared" si="20"/>
        <v>-3472.0919999319813</v>
      </c>
      <c r="T45">
        <f>mu_b*Q45</f>
        <v>0</v>
      </c>
      <c r="U45" t="str">
        <f t="shared" si="21"/>
        <v>Friction</v>
      </c>
      <c r="V45">
        <f>(L45+M45+N45+mu_u*0.1*(J45-K45))/(1-mu_u*0.24)</f>
        <v>13248.925474333153</v>
      </c>
      <c r="W45">
        <f t="shared" si="22"/>
        <v>2831.5384318792048</v>
      </c>
      <c r="X45">
        <f t="shared" si="23"/>
        <v>332.36002365781098</v>
      </c>
      <c r="Y45">
        <f t="shared" si="24"/>
        <v>0</v>
      </c>
      <c r="Z45">
        <f>MIN(mu_b*Q45,N45)</f>
        <v>0</v>
      </c>
      <c r="AA45">
        <f>mu_u*X45</f>
        <v>16.618001182890549</v>
      </c>
      <c r="AB45">
        <f t="shared" si="25"/>
        <v>-951.11300589744815</v>
      </c>
      <c r="AC45">
        <f>g_mps2/J45*W45</f>
        <v>1.2484947363110208</v>
      </c>
      <c r="AD45">
        <f t="shared" si="12"/>
        <v>0</v>
      </c>
      <c r="AE45" s="119">
        <f t="shared" si="26"/>
        <v>13.877417266084855</v>
      </c>
    </row>
    <row r="46" spans="1:31" x14ac:dyDescent="0.25">
      <c r="A46" s="95"/>
      <c r="B46" s="73" t="s">
        <v>387</v>
      </c>
      <c r="C46" s="11" t="s">
        <v>389</v>
      </c>
      <c r="D46" s="11"/>
      <c r="E46" s="15">
        <f>E45*(E44/504)</f>
        <v>1495.260626911818</v>
      </c>
      <c r="G46">
        <v>53</v>
      </c>
      <c r="H46">
        <f t="shared" si="0"/>
        <v>27.265555555555558</v>
      </c>
      <c r="I46">
        <f>0.5*rho_kgpm3*H46^2</f>
        <v>455.33895008565867</v>
      </c>
      <c r="J46" s="120">
        <f t="shared" si="1"/>
        <v>22241.108076302498</v>
      </c>
      <c r="K46">
        <f>I46*CL*$E$30</f>
        <v>25713.20007623448</v>
      </c>
      <c r="L46">
        <f>I46*CD*$E$30</f>
        <v>2618.3922598565532</v>
      </c>
      <c r="M46">
        <f>T_rev_N</f>
        <v>1147.6411767372092</v>
      </c>
      <c r="N46">
        <f t="shared" si="2"/>
        <v>9341.2653920470511</v>
      </c>
      <c r="O46" s="120">
        <f>(L46+M46+(mu_b*(1-0.1)+mu_u*0.1)*($E$19-K46))/(1+0.24*(mu_b-mu_u))</f>
        <v>2831.5384318792048</v>
      </c>
      <c r="P46">
        <f t="shared" si="17"/>
        <v>332.36002365781098</v>
      </c>
      <c r="Q46">
        <f t="shared" si="18"/>
        <v>0</v>
      </c>
      <c r="R46">
        <f t="shared" si="19"/>
        <v>332.36002365781098</v>
      </c>
      <c r="S46" s="120">
        <f t="shared" si="20"/>
        <v>-3472.0919999319813</v>
      </c>
      <c r="T46">
        <f>mu_b*Q46</f>
        <v>0</v>
      </c>
      <c r="U46" t="str">
        <f t="shared" si="21"/>
        <v>Friction</v>
      </c>
      <c r="V46">
        <f>(L46+M46+N46+mu_u*0.1*(J46-K46))/(1-mu_u*0.24)</f>
        <v>13248.925474333153</v>
      </c>
      <c r="W46">
        <f t="shared" si="22"/>
        <v>2831.5384318792048</v>
      </c>
      <c r="X46">
        <f t="shared" si="23"/>
        <v>332.36002365781098</v>
      </c>
      <c r="Y46">
        <f t="shared" si="24"/>
        <v>0</v>
      </c>
      <c r="Z46">
        <f>MIN(mu_b*Q46,N46)</f>
        <v>0</v>
      </c>
      <c r="AA46">
        <f>mu_u*X46</f>
        <v>16.618001182890549</v>
      </c>
      <c r="AB46">
        <f t="shared" si="25"/>
        <v>-951.11300589744815</v>
      </c>
      <c r="AC46">
        <f>g_mps2/J46*W46</f>
        <v>1.2484947363110208</v>
      </c>
      <c r="AD46">
        <f t="shared" si="12"/>
        <v>0</v>
      </c>
      <c r="AE46" s="119">
        <f t="shared" si="26"/>
        <v>13.877417266084855</v>
      </c>
    </row>
    <row r="47" spans="1:31" x14ac:dyDescent="0.25">
      <c r="A47" s="95"/>
      <c r="B47" s="87" t="s">
        <v>390</v>
      </c>
      <c r="C47" s="11" t="s">
        <v>161</v>
      </c>
      <c r="D47" s="11" t="s">
        <v>133</v>
      </c>
      <c r="E47" s="86">
        <f>E46*0.94</f>
        <v>1405.5449892971089</v>
      </c>
      <c r="G47">
        <v>53</v>
      </c>
      <c r="H47">
        <f t="shared" si="0"/>
        <v>27.265555555555558</v>
      </c>
      <c r="I47">
        <f>0.5*rho_kgpm3*H47^2</f>
        <v>455.33895008565867</v>
      </c>
      <c r="J47" s="120">
        <f t="shared" si="1"/>
        <v>22241.108076302498</v>
      </c>
      <c r="K47">
        <f>I47*CL*$E$30</f>
        <v>25713.20007623448</v>
      </c>
      <c r="L47">
        <f>I47*CD*$E$30</f>
        <v>2618.3922598565532</v>
      </c>
      <c r="M47">
        <f>T_rev_N</f>
        <v>1147.6411767372092</v>
      </c>
      <c r="N47">
        <f t="shared" si="2"/>
        <v>9341.2653920470511</v>
      </c>
      <c r="O47" s="120">
        <f>(L47+M47+(mu_b*(1-0.1)+mu_u*0.1)*($E$19-K47))/(1+0.24*(mu_b-mu_u))</f>
        <v>2831.5384318792048</v>
      </c>
      <c r="P47">
        <f t="shared" si="17"/>
        <v>332.36002365781098</v>
      </c>
      <c r="Q47">
        <f t="shared" si="18"/>
        <v>0</v>
      </c>
      <c r="R47">
        <f t="shared" si="19"/>
        <v>332.36002365781098</v>
      </c>
      <c r="S47" s="120">
        <f t="shared" si="20"/>
        <v>-3472.0919999319813</v>
      </c>
      <c r="T47">
        <f>mu_b*Q47</f>
        <v>0</v>
      </c>
      <c r="U47" t="str">
        <f t="shared" si="21"/>
        <v>Friction</v>
      </c>
      <c r="V47">
        <f>(L47+M47+N47+mu_u*0.1*(J47-K47))/(1-mu_u*0.24)</f>
        <v>13248.925474333153</v>
      </c>
      <c r="W47">
        <f t="shared" si="22"/>
        <v>2831.5384318792048</v>
      </c>
      <c r="X47">
        <f t="shared" si="23"/>
        <v>332.36002365781098</v>
      </c>
      <c r="Y47">
        <f t="shared" si="24"/>
        <v>0</v>
      </c>
      <c r="Z47">
        <f>MIN(mu_b*Q47,N47)</f>
        <v>0</v>
      </c>
      <c r="AA47">
        <f>mu_u*X47</f>
        <v>16.618001182890549</v>
      </c>
      <c r="AB47">
        <f t="shared" si="25"/>
        <v>-951.11300589744815</v>
      </c>
      <c r="AC47">
        <f>g_mps2/J47*W47</f>
        <v>1.2484947363110208</v>
      </c>
      <c r="AD47">
        <f t="shared" si="12"/>
        <v>0</v>
      </c>
      <c r="AE47" s="119">
        <f t="shared" si="26"/>
        <v>13.877417266084855</v>
      </c>
    </row>
    <row r="48" spans="1:31" x14ac:dyDescent="0.25">
      <c r="A48" s="95"/>
      <c r="B48" s="89"/>
      <c r="C48" s="11" t="s">
        <v>162</v>
      </c>
      <c r="D48" s="11" t="s">
        <v>109</v>
      </c>
      <c r="E48" s="15">
        <f t="shared" ref="E48" si="41">E47*CONVERT(1,"lbf","N")</f>
        <v>6252.1756026124885</v>
      </c>
      <c r="G48">
        <v>53</v>
      </c>
      <c r="H48">
        <f t="shared" si="0"/>
        <v>27.265555555555558</v>
      </c>
      <c r="I48">
        <f>0.5*rho_kgpm3*H48^2</f>
        <v>455.33895008565867</v>
      </c>
      <c r="J48" s="120">
        <f t="shared" si="1"/>
        <v>22241.108076302498</v>
      </c>
      <c r="K48">
        <f>I48*CL*$E$30</f>
        <v>25713.20007623448</v>
      </c>
      <c r="L48">
        <f>I48*CD*$E$30</f>
        <v>2618.3922598565532</v>
      </c>
      <c r="M48">
        <f>T_rev_N</f>
        <v>1147.6411767372092</v>
      </c>
      <c r="N48">
        <f t="shared" si="2"/>
        <v>9341.2653920470511</v>
      </c>
      <c r="O48" s="120">
        <f>(L48+M48+(mu_b*(1-0.1)+mu_u*0.1)*($E$19-K48))/(1+0.24*(mu_b-mu_u))</f>
        <v>2831.5384318792048</v>
      </c>
      <c r="P48">
        <f t="shared" si="17"/>
        <v>332.36002365781098</v>
      </c>
      <c r="Q48">
        <f t="shared" si="18"/>
        <v>0</v>
      </c>
      <c r="R48">
        <f t="shared" si="19"/>
        <v>332.36002365781098</v>
      </c>
      <c r="S48" s="120">
        <f t="shared" si="20"/>
        <v>-3472.0919999319813</v>
      </c>
      <c r="T48">
        <f>mu_b*Q48</f>
        <v>0</v>
      </c>
      <c r="U48" t="str">
        <f t="shared" si="21"/>
        <v>Friction</v>
      </c>
      <c r="V48">
        <f>(L48+M48+N48+mu_u*0.1*(J48-K48))/(1-mu_u*0.24)</f>
        <v>13248.925474333153</v>
      </c>
      <c r="W48">
        <f t="shared" si="22"/>
        <v>2831.5384318792048</v>
      </c>
      <c r="X48">
        <f t="shared" si="23"/>
        <v>332.36002365781098</v>
      </c>
      <c r="Y48">
        <f t="shared" si="24"/>
        <v>0</v>
      </c>
      <c r="Z48">
        <f>MIN(mu_b*Q48,N48)</f>
        <v>0</v>
      </c>
      <c r="AA48">
        <f>mu_u*X48</f>
        <v>16.618001182890549</v>
      </c>
      <c r="AB48">
        <f t="shared" si="25"/>
        <v>-951.11300589744815</v>
      </c>
      <c r="AC48">
        <f>g_mps2/J48*W48</f>
        <v>1.2484947363110208</v>
      </c>
      <c r="AD48">
        <f t="shared" si="12"/>
        <v>0</v>
      </c>
      <c r="AE48" s="119">
        <f t="shared" si="26"/>
        <v>13.877417266084855</v>
      </c>
    </row>
    <row r="49" spans="1:31" x14ac:dyDescent="0.25">
      <c r="A49" s="95"/>
      <c r="B49" s="11" t="s">
        <v>159</v>
      </c>
      <c r="C49" s="11" t="s">
        <v>430</v>
      </c>
      <c r="D49" s="11" t="s">
        <v>109</v>
      </c>
      <c r="E49" s="15">
        <f>258*CONVERT(1,"lbf","N")</f>
        <v>1147.6411767372092</v>
      </c>
      <c r="G49">
        <v>53</v>
      </c>
      <c r="H49">
        <f t="shared" si="0"/>
        <v>27.265555555555558</v>
      </c>
      <c r="I49">
        <f>0.5*rho_kgpm3*H49^2</f>
        <v>455.33895008565867</v>
      </c>
      <c r="J49" s="120">
        <f t="shared" si="1"/>
        <v>22241.108076302498</v>
      </c>
      <c r="K49">
        <f>I49*CL*$E$30</f>
        <v>25713.20007623448</v>
      </c>
      <c r="L49">
        <f>I49*CD*$E$30</f>
        <v>2618.3922598565532</v>
      </c>
      <c r="M49">
        <f>T_rev_N</f>
        <v>1147.6411767372092</v>
      </c>
      <c r="N49">
        <f t="shared" si="2"/>
        <v>9341.2653920470511</v>
      </c>
      <c r="O49" s="120">
        <f>(L49+M49+(mu_b*(1-0.1)+mu_u*0.1)*($E$19-K49))/(1+0.24*(mu_b-mu_u))</f>
        <v>2831.5384318792048</v>
      </c>
      <c r="P49">
        <f t="shared" si="17"/>
        <v>332.36002365781098</v>
      </c>
      <c r="Q49">
        <f t="shared" si="18"/>
        <v>0</v>
      </c>
      <c r="R49">
        <f t="shared" si="19"/>
        <v>332.36002365781098</v>
      </c>
      <c r="S49" s="120">
        <f t="shared" si="20"/>
        <v>-3472.0919999319813</v>
      </c>
      <c r="T49">
        <f>mu_b*Q49</f>
        <v>0</v>
      </c>
      <c r="U49" t="str">
        <f t="shared" si="21"/>
        <v>Friction</v>
      </c>
      <c r="V49">
        <f>(L49+M49+N49+mu_u*0.1*(J49-K49))/(1-mu_u*0.24)</f>
        <v>13248.925474333153</v>
      </c>
      <c r="W49">
        <f t="shared" si="22"/>
        <v>2831.5384318792048</v>
      </c>
      <c r="X49">
        <f t="shared" si="23"/>
        <v>332.36002365781098</v>
      </c>
      <c r="Y49">
        <f t="shared" si="24"/>
        <v>0</v>
      </c>
      <c r="Z49">
        <f>MIN(mu_b*Q49,N49)</f>
        <v>0</v>
      </c>
      <c r="AA49">
        <f>mu_u*X49</f>
        <v>16.618001182890549</v>
      </c>
      <c r="AB49">
        <f t="shared" si="25"/>
        <v>-951.11300589744815</v>
      </c>
      <c r="AC49">
        <f>g_mps2/J49*W49</f>
        <v>1.2484947363110208</v>
      </c>
      <c r="AD49">
        <f t="shared" si="12"/>
        <v>0</v>
      </c>
      <c r="AE49" s="119">
        <f t="shared" si="26"/>
        <v>13.877417266084855</v>
      </c>
    </row>
    <row r="50" spans="1:31" x14ac:dyDescent="0.25">
      <c r="A50" s="88"/>
      <c r="B50" s="11" t="s">
        <v>274</v>
      </c>
      <c r="C50" s="11" t="s">
        <v>276</v>
      </c>
      <c r="D50" s="11" t="s">
        <v>109</v>
      </c>
      <c r="E50" s="15">
        <f t="shared" ref="E50" si="42">0.5*E11*E26^2*(E40+E42*E39^2)</f>
        <v>106.68302194857506</v>
      </c>
      <c r="G50">
        <v>53</v>
      </c>
      <c r="H50">
        <f t="shared" si="0"/>
        <v>27.265555555555558</v>
      </c>
      <c r="I50">
        <f>0.5*rho_kgpm3*H50^2</f>
        <v>455.33895008565867</v>
      </c>
      <c r="J50" s="120">
        <f t="shared" si="1"/>
        <v>22241.108076302498</v>
      </c>
      <c r="K50">
        <f>I50*CL*$E$30</f>
        <v>25713.20007623448</v>
      </c>
      <c r="L50">
        <f>I50*CD*$E$30</f>
        <v>2618.3922598565532</v>
      </c>
      <c r="M50">
        <f>T_rev_N</f>
        <v>1147.6411767372092</v>
      </c>
      <c r="N50">
        <f t="shared" si="2"/>
        <v>9341.2653920470511</v>
      </c>
      <c r="O50" s="120">
        <f>(L50+M50+(mu_b*(1-0.1)+mu_u*0.1)*($E$19-K50))/(1+0.24*(mu_b-mu_u))</f>
        <v>2831.5384318792048</v>
      </c>
      <c r="P50">
        <f t="shared" si="17"/>
        <v>332.36002365781098</v>
      </c>
      <c r="Q50">
        <f t="shared" si="18"/>
        <v>0</v>
      </c>
      <c r="R50">
        <f t="shared" si="19"/>
        <v>332.36002365781098</v>
      </c>
      <c r="S50" s="120">
        <f t="shared" si="20"/>
        <v>-3472.0919999319813</v>
      </c>
      <c r="T50">
        <f>mu_b*Q50</f>
        <v>0</v>
      </c>
      <c r="U50" t="str">
        <f t="shared" si="21"/>
        <v>Friction</v>
      </c>
      <c r="V50">
        <f>(L50+M50+N50+mu_u*0.1*(J50-K50))/(1-mu_u*0.24)</f>
        <v>13248.925474333153</v>
      </c>
      <c r="W50">
        <f t="shared" si="22"/>
        <v>2831.5384318792048</v>
      </c>
      <c r="X50">
        <f t="shared" si="23"/>
        <v>332.36002365781098</v>
      </c>
      <c r="Y50">
        <f t="shared" si="24"/>
        <v>0</v>
      </c>
      <c r="Z50">
        <f>MIN(mu_b*Q50,N50)</f>
        <v>0</v>
      </c>
      <c r="AA50">
        <f>mu_u*X50</f>
        <v>16.618001182890549</v>
      </c>
      <c r="AB50">
        <f t="shared" si="25"/>
        <v>-951.11300589744815</v>
      </c>
      <c r="AC50">
        <f>g_mps2/J50*W50</f>
        <v>1.2484947363110208</v>
      </c>
      <c r="AD50">
        <f t="shared" si="12"/>
        <v>0</v>
      </c>
      <c r="AE50" s="119">
        <f t="shared" si="26"/>
        <v>13.877417266084855</v>
      </c>
    </row>
    <row r="51" spans="1:31" x14ac:dyDescent="0.25">
      <c r="A51" s="88"/>
      <c r="B51" s="11" t="s">
        <v>275</v>
      </c>
      <c r="C51" s="11" t="s">
        <v>277</v>
      </c>
      <c r="D51" s="11" t="s">
        <v>109</v>
      </c>
      <c r="E51" s="15">
        <f t="shared" ref="E51" si="43">0.5*E11*E28^2*(E40+E42*E39^2)</f>
        <v>106.68302194857506</v>
      </c>
      <c r="G51">
        <v>53</v>
      </c>
      <c r="H51">
        <f t="shared" si="0"/>
        <v>27.265555555555558</v>
      </c>
      <c r="I51">
        <f>0.5*rho_kgpm3*H51^2</f>
        <v>455.33895008565867</v>
      </c>
      <c r="J51" s="120">
        <f t="shared" si="1"/>
        <v>22241.108076302498</v>
      </c>
      <c r="K51">
        <f>I51*CL*$E$30</f>
        <v>25713.20007623448</v>
      </c>
      <c r="L51">
        <f>I51*CD*$E$30</f>
        <v>2618.3922598565532</v>
      </c>
      <c r="M51">
        <f>T_rev_N</f>
        <v>1147.6411767372092</v>
      </c>
      <c r="N51">
        <f t="shared" si="2"/>
        <v>9341.2653920470511</v>
      </c>
      <c r="O51" s="120">
        <f>(L51+M51+(mu_b*(1-0.1)+mu_u*0.1)*($E$19-K51))/(1+0.24*(mu_b-mu_u))</f>
        <v>2831.5384318792048</v>
      </c>
      <c r="P51">
        <f t="shared" si="17"/>
        <v>332.36002365781098</v>
      </c>
      <c r="Q51">
        <f t="shared" si="18"/>
        <v>0</v>
      </c>
      <c r="R51">
        <f t="shared" si="19"/>
        <v>332.36002365781098</v>
      </c>
      <c r="S51" s="120">
        <f t="shared" si="20"/>
        <v>-3472.0919999319813</v>
      </c>
      <c r="T51">
        <f>mu_b*Q51</f>
        <v>0</v>
      </c>
      <c r="U51" t="str">
        <f t="shared" si="21"/>
        <v>Friction</v>
      </c>
      <c r="V51">
        <f>(L51+M51+N51+mu_u*0.1*(J51-K51))/(1-mu_u*0.24)</f>
        <v>13248.925474333153</v>
      </c>
      <c r="W51">
        <f t="shared" si="22"/>
        <v>2831.5384318792048</v>
      </c>
      <c r="X51">
        <f t="shared" si="23"/>
        <v>332.36002365781098</v>
      </c>
      <c r="Y51">
        <f t="shared" si="24"/>
        <v>0</v>
      </c>
      <c r="Z51">
        <f>MIN(mu_b*Q51,N51)</f>
        <v>0</v>
      </c>
      <c r="AA51">
        <f>mu_u*X51</f>
        <v>16.618001182890549</v>
      </c>
      <c r="AB51">
        <f t="shared" si="25"/>
        <v>-951.11300589744815</v>
      </c>
      <c r="AC51">
        <f>g_mps2/J51*W51</f>
        <v>1.2484947363110208</v>
      </c>
      <c r="AD51">
        <f t="shared" si="12"/>
        <v>0</v>
      </c>
      <c r="AE51" s="119">
        <f t="shared" si="26"/>
        <v>13.877417266084855</v>
      </c>
    </row>
    <row r="52" spans="1:31" x14ac:dyDescent="0.25">
      <c r="A52" s="88"/>
      <c r="B52" s="11" t="s">
        <v>286</v>
      </c>
      <c r="C52" s="11" t="s">
        <v>134</v>
      </c>
      <c r="D52" s="11"/>
      <c r="E52" s="17">
        <f t="shared" ref="E52" si="44">E48/E16-E12</f>
        <v>0.23110899785942185</v>
      </c>
      <c r="G52">
        <v>53</v>
      </c>
      <c r="H52">
        <f t="shared" si="0"/>
        <v>27.265555555555558</v>
      </c>
      <c r="I52">
        <f>0.5*rho_kgpm3*H52^2</f>
        <v>455.33895008565867</v>
      </c>
      <c r="J52" s="120">
        <f t="shared" si="1"/>
        <v>22241.108076302498</v>
      </c>
      <c r="K52">
        <f>I52*CL*$E$30</f>
        <v>25713.20007623448</v>
      </c>
      <c r="L52">
        <f>I52*CD*$E$30</f>
        <v>2618.3922598565532</v>
      </c>
      <c r="M52">
        <f>T_rev_N</f>
        <v>1147.6411767372092</v>
      </c>
      <c r="N52">
        <f t="shared" si="2"/>
        <v>9341.2653920470511</v>
      </c>
      <c r="O52" s="120">
        <f>(L52+M52+(mu_b*(1-0.1)+mu_u*0.1)*($E$19-K52))/(1+0.24*(mu_b-mu_u))</f>
        <v>2831.5384318792048</v>
      </c>
      <c r="P52">
        <f t="shared" si="17"/>
        <v>332.36002365781098</v>
      </c>
      <c r="Q52">
        <f t="shared" si="18"/>
        <v>0</v>
      </c>
      <c r="R52">
        <f t="shared" si="19"/>
        <v>332.36002365781098</v>
      </c>
      <c r="S52" s="120">
        <f t="shared" si="20"/>
        <v>-3472.0919999319813</v>
      </c>
      <c r="T52">
        <f>mu_b*Q52</f>
        <v>0</v>
      </c>
      <c r="U52" t="str">
        <f t="shared" si="21"/>
        <v>Friction</v>
      </c>
      <c r="V52">
        <f>(L52+M52+N52+mu_u*0.1*(J52-K52))/(1-mu_u*0.24)</f>
        <v>13248.925474333153</v>
      </c>
      <c r="W52">
        <f t="shared" si="22"/>
        <v>2831.5384318792048</v>
      </c>
      <c r="X52">
        <f t="shared" si="23"/>
        <v>332.36002365781098</v>
      </c>
      <c r="Y52">
        <f t="shared" si="24"/>
        <v>0</v>
      </c>
      <c r="Z52">
        <f>MIN(mu_b*Q52,N52)</f>
        <v>0</v>
      </c>
      <c r="AA52">
        <f>mu_u*X52</f>
        <v>16.618001182890549</v>
      </c>
      <c r="AB52">
        <f t="shared" si="25"/>
        <v>-951.11300589744815</v>
      </c>
      <c r="AC52">
        <f>g_mps2/J52*W52</f>
        <v>1.2484947363110208</v>
      </c>
      <c r="AD52">
        <f t="shared" si="12"/>
        <v>0</v>
      </c>
      <c r="AE52" s="119">
        <f t="shared" si="26"/>
        <v>13.877417266084855</v>
      </c>
    </row>
    <row r="53" spans="1:31" x14ac:dyDescent="0.25">
      <c r="A53" s="88"/>
      <c r="B53" s="11" t="s">
        <v>288</v>
      </c>
      <c r="C53" s="11" t="s">
        <v>107</v>
      </c>
      <c r="D53" s="11"/>
      <c r="E53" s="18">
        <f t="shared" ref="E53" si="45">E11/(2*E16/E30)*(-E40-E42*E39^2+E12*E39)</f>
        <v>-8.0604221208987505E-5</v>
      </c>
      <c r="G53">
        <v>53</v>
      </c>
      <c r="H53">
        <f t="shared" si="0"/>
        <v>27.265555555555558</v>
      </c>
      <c r="I53">
        <f>0.5*rho_kgpm3*H53^2</f>
        <v>455.33895008565867</v>
      </c>
      <c r="J53" s="120">
        <f t="shared" si="1"/>
        <v>22241.108076302498</v>
      </c>
      <c r="K53">
        <f>I53*CL*$E$30</f>
        <v>25713.20007623448</v>
      </c>
      <c r="L53">
        <f>I53*CD*$E$30</f>
        <v>2618.3922598565532</v>
      </c>
      <c r="M53">
        <f>T_rev_N</f>
        <v>1147.6411767372092</v>
      </c>
      <c r="N53">
        <f t="shared" si="2"/>
        <v>9341.2653920470511</v>
      </c>
      <c r="O53" s="120">
        <f>(L53+M53+(mu_b*(1-0.1)+mu_u*0.1)*($E$19-K53))/(1+0.24*(mu_b-mu_u))</f>
        <v>2831.5384318792048</v>
      </c>
      <c r="P53">
        <f t="shared" si="17"/>
        <v>332.36002365781098</v>
      </c>
      <c r="Q53">
        <f t="shared" si="18"/>
        <v>0</v>
      </c>
      <c r="R53">
        <f t="shared" si="19"/>
        <v>332.36002365781098</v>
      </c>
      <c r="S53" s="120">
        <f t="shared" si="20"/>
        <v>-3472.0919999319813</v>
      </c>
      <c r="T53">
        <f>mu_b*Q53</f>
        <v>0</v>
      </c>
      <c r="U53" t="str">
        <f t="shared" si="21"/>
        <v>Friction</v>
      </c>
      <c r="V53">
        <f>(L53+M53+N53+mu_u*0.1*(J53-K53))/(1-mu_u*0.24)</f>
        <v>13248.925474333153</v>
      </c>
      <c r="W53">
        <f t="shared" si="22"/>
        <v>2831.5384318792048</v>
      </c>
      <c r="X53">
        <f t="shared" si="23"/>
        <v>332.36002365781098</v>
      </c>
      <c r="Y53">
        <f t="shared" si="24"/>
        <v>0</v>
      </c>
      <c r="Z53">
        <f>MIN(mu_b*Q53,N53)</f>
        <v>0</v>
      </c>
      <c r="AA53">
        <f>mu_u*X53</f>
        <v>16.618001182890549</v>
      </c>
      <c r="AB53">
        <f t="shared" si="25"/>
        <v>-951.11300589744815</v>
      </c>
      <c r="AC53">
        <f>g_mps2/J53*W53</f>
        <v>1.2484947363110208</v>
      </c>
      <c r="AD53">
        <f t="shared" si="12"/>
        <v>0</v>
      </c>
      <c r="AE53" s="119">
        <f t="shared" si="26"/>
        <v>13.877417266084855</v>
      </c>
    </row>
    <row r="54" spans="1:31" x14ac:dyDescent="0.25">
      <c r="A54" s="88"/>
      <c r="B54" s="11" t="s">
        <v>289</v>
      </c>
      <c r="C54" s="11" t="s">
        <v>134</v>
      </c>
      <c r="D54" s="11"/>
      <c r="E54" s="17">
        <f t="shared" ref="E54" si="46">-E49/E19-E13</f>
        <v>-0.30160000000000003</v>
      </c>
      <c r="G54">
        <v>53</v>
      </c>
      <c r="H54">
        <f t="shared" si="0"/>
        <v>27.265555555555558</v>
      </c>
      <c r="I54">
        <f>0.5*rho_kgpm3*H54^2</f>
        <v>455.33895008565867</v>
      </c>
      <c r="J54" s="120">
        <f t="shared" si="1"/>
        <v>22241.108076302498</v>
      </c>
      <c r="K54">
        <f>I54*CL*$E$30</f>
        <v>25713.20007623448</v>
      </c>
      <c r="L54">
        <f>I54*CD*$E$30</f>
        <v>2618.3922598565532</v>
      </c>
      <c r="M54">
        <f>T_rev_N</f>
        <v>1147.6411767372092</v>
      </c>
      <c r="N54">
        <f t="shared" si="2"/>
        <v>9341.2653920470511</v>
      </c>
      <c r="O54" s="120">
        <f>(L54+M54+(mu_b*(1-0.1)+mu_u*0.1)*($E$19-K54))/(1+0.24*(mu_b-mu_u))</f>
        <v>2831.5384318792048</v>
      </c>
      <c r="P54">
        <f t="shared" si="17"/>
        <v>332.36002365781098</v>
      </c>
      <c r="Q54">
        <f t="shared" si="18"/>
        <v>0</v>
      </c>
      <c r="R54">
        <f t="shared" si="19"/>
        <v>332.36002365781098</v>
      </c>
      <c r="S54" s="120">
        <f t="shared" si="20"/>
        <v>-3472.0919999319813</v>
      </c>
      <c r="T54">
        <f>mu_b*Q54</f>
        <v>0</v>
      </c>
      <c r="U54" t="str">
        <f t="shared" si="21"/>
        <v>Friction</v>
      </c>
      <c r="V54">
        <f>(L54+M54+N54+mu_u*0.1*(J54-K54))/(1-mu_u*0.24)</f>
        <v>13248.925474333153</v>
      </c>
      <c r="W54">
        <f t="shared" si="22"/>
        <v>2831.5384318792048</v>
      </c>
      <c r="X54">
        <f t="shared" si="23"/>
        <v>332.36002365781098</v>
      </c>
      <c r="Y54">
        <f t="shared" si="24"/>
        <v>0</v>
      </c>
      <c r="Z54">
        <f>MIN(mu_b*Q54,N54)</f>
        <v>0</v>
      </c>
      <c r="AA54">
        <f>mu_u*X54</f>
        <v>16.618001182890549</v>
      </c>
      <c r="AB54">
        <f t="shared" si="25"/>
        <v>-951.11300589744815</v>
      </c>
      <c r="AC54">
        <f>g_mps2/J54*W54</f>
        <v>1.2484947363110208</v>
      </c>
      <c r="AD54">
        <f t="shared" si="12"/>
        <v>0</v>
      </c>
      <c r="AE54" s="119">
        <f t="shared" si="26"/>
        <v>13.877417266084855</v>
      </c>
    </row>
    <row r="55" spans="1:31" x14ac:dyDescent="0.25">
      <c r="A55" s="88"/>
      <c r="B55" s="11" t="s">
        <v>287</v>
      </c>
      <c r="C55" s="11" t="s">
        <v>107</v>
      </c>
      <c r="D55" s="11"/>
      <c r="E55" s="18">
        <f t="shared" ref="E55" si="47">E11/(2*E19/E30)*(-E40-E42*E39^2+E13*E39)</f>
        <v>2.3042486322041232E-4</v>
      </c>
      <c r="G55">
        <v>53</v>
      </c>
      <c r="H55">
        <f t="shared" si="0"/>
        <v>27.265555555555558</v>
      </c>
      <c r="I55">
        <f>0.5*rho_kgpm3*H55^2</f>
        <v>455.33895008565867</v>
      </c>
      <c r="J55" s="120">
        <f t="shared" si="1"/>
        <v>22241.108076302498</v>
      </c>
      <c r="K55">
        <f>I55*CL*$E$30</f>
        <v>25713.20007623448</v>
      </c>
      <c r="L55">
        <f>I55*CD*$E$30</f>
        <v>2618.3922598565532</v>
      </c>
      <c r="M55">
        <f>T_rev_N</f>
        <v>1147.6411767372092</v>
      </c>
      <c r="N55">
        <f t="shared" si="2"/>
        <v>9341.2653920470511</v>
      </c>
      <c r="O55" s="120">
        <f>(L55+M55+(mu_b*(1-0.1)+mu_u*0.1)*($E$19-K55))/(1+0.24*(mu_b-mu_u))</f>
        <v>2831.5384318792048</v>
      </c>
      <c r="P55">
        <f t="shared" si="17"/>
        <v>332.36002365781098</v>
      </c>
      <c r="Q55">
        <f t="shared" si="18"/>
        <v>0</v>
      </c>
      <c r="R55">
        <f t="shared" si="19"/>
        <v>332.36002365781098</v>
      </c>
      <c r="S55" s="120">
        <f t="shared" si="20"/>
        <v>-3472.0919999319813</v>
      </c>
      <c r="T55">
        <f>mu_b*Q55</f>
        <v>0</v>
      </c>
      <c r="U55" t="str">
        <f t="shared" si="21"/>
        <v>Friction</v>
      </c>
      <c r="V55">
        <f>(L55+M55+N55+mu_u*0.1*(J55-K55))/(1-mu_u*0.24)</f>
        <v>13248.925474333153</v>
      </c>
      <c r="W55">
        <f t="shared" si="22"/>
        <v>2831.5384318792048</v>
      </c>
      <c r="X55">
        <f t="shared" si="23"/>
        <v>332.36002365781098</v>
      </c>
      <c r="Y55">
        <f t="shared" si="24"/>
        <v>0</v>
      </c>
      <c r="Z55">
        <f>MIN(mu_b*Q55,N55)</f>
        <v>0</v>
      </c>
      <c r="AA55">
        <f>mu_u*X55</f>
        <v>16.618001182890549</v>
      </c>
      <c r="AB55">
        <f t="shared" si="25"/>
        <v>-951.11300589744815</v>
      </c>
      <c r="AC55">
        <f>g_mps2/J55*W55</f>
        <v>1.2484947363110208</v>
      </c>
      <c r="AD55">
        <f t="shared" si="12"/>
        <v>0</v>
      </c>
      <c r="AE55" s="119">
        <f t="shared" si="26"/>
        <v>13.877417266084855</v>
      </c>
    </row>
    <row r="56" spans="1:31" x14ac:dyDescent="0.25">
      <c r="A56" s="88"/>
      <c r="B56" s="73" t="s">
        <v>278</v>
      </c>
      <c r="C56" s="11" t="s">
        <v>300</v>
      </c>
      <c r="D56" s="11" t="s">
        <v>19</v>
      </c>
      <c r="E56" s="14">
        <f>0</f>
        <v>0</v>
      </c>
      <c r="G56">
        <v>53</v>
      </c>
      <c r="H56">
        <f t="shared" si="0"/>
        <v>27.265555555555558</v>
      </c>
      <c r="I56">
        <f>0.5*rho_kgpm3*H56^2</f>
        <v>455.33895008565867</v>
      </c>
      <c r="J56" s="120">
        <f t="shared" si="1"/>
        <v>22241.108076302498</v>
      </c>
      <c r="K56">
        <f>I56*CL*$E$30</f>
        <v>25713.20007623448</v>
      </c>
      <c r="L56">
        <f>I56*CD*$E$30</f>
        <v>2618.3922598565532</v>
      </c>
      <c r="M56">
        <f>T_rev_N</f>
        <v>1147.6411767372092</v>
      </c>
      <c r="N56">
        <f t="shared" si="2"/>
        <v>9341.2653920470511</v>
      </c>
      <c r="O56" s="120">
        <f>(L56+M56+(mu_b*(1-0.1)+mu_u*0.1)*($E$19-K56))/(1+0.24*(mu_b-mu_u))</f>
        <v>2831.5384318792048</v>
      </c>
      <c r="P56">
        <f t="shared" si="17"/>
        <v>332.36002365781098</v>
      </c>
      <c r="Q56">
        <f t="shared" si="18"/>
        <v>0</v>
      </c>
      <c r="R56">
        <f t="shared" si="19"/>
        <v>332.36002365781098</v>
      </c>
      <c r="S56" s="120">
        <f t="shared" si="20"/>
        <v>-3472.0919999319813</v>
      </c>
      <c r="T56">
        <f>mu_b*Q56</f>
        <v>0</v>
      </c>
      <c r="U56" t="str">
        <f t="shared" si="21"/>
        <v>Friction</v>
      </c>
      <c r="V56">
        <f>(L56+M56+N56+mu_u*0.1*(J56-K56))/(1-mu_u*0.24)</f>
        <v>13248.925474333153</v>
      </c>
      <c r="W56">
        <f t="shared" si="22"/>
        <v>2831.5384318792048</v>
      </c>
      <c r="X56">
        <f t="shared" si="23"/>
        <v>332.36002365781098</v>
      </c>
      <c r="Y56">
        <f t="shared" si="24"/>
        <v>0</v>
      </c>
      <c r="Z56">
        <f>MIN(mu_b*Q56,N56)</f>
        <v>0</v>
      </c>
      <c r="AA56">
        <f>mu_u*X56</f>
        <v>16.618001182890549</v>
      </c>
      <c r="AB56">
        <f t="shared" si="25"/>
        <v>-951.11300589744815</v>
      </c>
      <c r="AC56">
        <f>g_mps2/J56*W56</f>
        <v>1.2484947363110208</v>
      </c>
      <c r="AD56">
        <f t="shared" si="12"/>
        <v>0</v>
      </c>
      <c r="AE56" s="119">
        <f t="shared" si="26"/>
        <v>13.877417266084855</v>
      </c>
    </row>
    <row r="57" spans="1:31" x14ac:dyDescent="0.25">
      <c r="A57" s="88"/>
      <c r="B57" s="73" t="s">
        <v>279</v>
      </c>
      <c r="C57" s="11" t="s">
        <v>301</v>
      </c>
      <c r="D57" s="11" t="s">
        <v>19</v>
      </c>
      <c r="E57" s="14">
        <f t="shared" ref="E57" si="48">E26</f>
        <v>27.893767844693979</v>
      </c>
      <c r="G57">
        <v>53</v>
      </c>
      <c r="H57">
        <f t="shared" si="0"/>
        <v>27.265555555555558</v>
      </c>
      <c r="I57">
        <f>0.5*rho_kgpm3*H57^2</f>
        <v>455.33895008565867</v>
      </c>
      <c r="J57" s="120">
        <f t="shared" si="1"/>
        <v>22241.108076302498</v>
      </c>
      <c r="K57">
        <f>I57*CL*$E$30</f>
        <v>25713.20007623448</v>
      </c>
      <c r="L57">
        <f>I57*CD*$E$30</f>
        <v>2618.3922598565532</v>
      </c>
      <c r="M57">
        <f>T_rev_N</f>
        <v>1147.6411767372092</v>
      </c>
      <c r="N57">
        <f t="shared" si="2"/>
        <v>9341.2653920470511</v>
      </c>
      <c r="O57" s="120">
        <f>(L57+M57+(mu_b*(1-0.1)+mu_u*0.1)*($E$19-K57))/(1+0.24*(mu_b-mu_u))</f>
        <v>2831.5384318792048</v>
      </c>
      <c r="P57">
        <f t="shared" si="17"/>
        <v>332.36002365781098</v>
      </c>
      <c r="Q57">
        <f t="shared" si="18"/>
        <v>0</v>
      </c>
      <c r="R57">
        <f t="shared" si="19"/>
        <v>332.36002365781098</v>
      </c>
      <c r="S57" s="120">
        <f t="shared" si="20"/>
        <v>-3472.0919999319813</v>
      </c>
      <c r="T57">
        <f>mu_b*Q57</f>
        <v>0</v>
      </c>
      <c r="U57" t="str">
        <f t="shared" si="21"/>
        <v>Friction</v>
      </c>
      <c r="V57">
        <f>(L57+M57+N57+mu_u*0.1*(J57-K57))/(1-mu_u*0.24)</f>
        <v>13248.925474333153</v>
      </c>
      <c r="W57">
        <f t="shared" si="22"/>
        <v>2831.5384318792048</v>
      </c>
      <c r="X57">
        <f t="shared" si="23"/>
        <v>332.36002365781098</v>
      </c>
      <c r="Y57">
        <f t="shared" si="24"/>
        <v>0</v>
      </c>
      <c r="Z57">
        <f>MIN(mu_b*Q57,N57)</f>
        <v>0</v>
      </c>
      <c r="AA57">
        <f>mu_u*X57</f>
        <v>16.618001182890549</v>
      </c>
      <c r="AB57">
        <f t="shared" si="25"/>
        <v>-951.11300589744815</v>
      </c>
      <c r="AC57">
        <f>g_mps2/J57*W57</f>
        <v>1.2484947363110208</v>
      </c>
      <c r="AD57">
        <f t="shared" si="12"/>
        <v>0</v>
      </c>
      <c r="AE57" s="119">
        <f t="shared" si="26"/>
        <v>13.877417266084855</v>
      </c>
    </row>
    <row r="58" spans="1:31" ht="15" x14ac:dyDescent="0.35">
      <c r="A58" s="88"/>
      <c r="B58" s="73" t="s">
        <v>280</v>
      </c>
      <c r="C58" s="11" t="s">
        <v>302</v>
      </c>
      <c r="D58" s="11" t="s">
        <v>19</v>
      </c>
      <c r="E58" s="14">
        <f t="shared" ref="E58" si="49">E28</f>
        <v>27.893767844693979</v>
      </c>
      <c r="G58">
        <v>53</v>
      </c>
      <c r="H58">
        <f t="shared" si="0"/>
        <v>27.265555555555558</v>
      </c>
      <c r="I58">
        <f>0.5*rho_kgpm3*H58^2</f>
        <v>455.33895008565867</v>
      </c>
      <c r="J58" s="120">
        <f t="shared" si="1"/>
        <v>22241.108076302498</v>
      </c>
      <c r="K58">
        <f>I58*CL*$E$30</f>
        <v>25713.20007623448</v>
      </c>
      <c r="L58">
        <f>I58*CD*$E$30</f>
        <v>2618.3922598565532</v>
      </c>
      <c r="M58">
        <f>T_rev_N</f>
        <v>1147.6411767372092</v>
      </c>
      <c r="N58">
        <f t="shared" si="2"/>
        <v>9341.2653920470511</v>
      </c>
      <c r="O58" s="120">
        <f>(L58+M58+(mu_b*(1-0.1)+mu_u*0.1)*($E$19-K58))/(1+0.24*(mu_b-mu_u))</f>
        <v>2831.5384318792048</v>
      </c>
      <c r="P58">
        <f t="shared" si="17"/>
        <v>332.36002365781098</v>
      </c>
      <c r="Q58">
        <f t="shared" si="18"/>
        <v>0</v>
      </c>
      <c r="R58">
        <f t="shared" si="19"/>
        <v>332.36002365781098</v>
      </c>
      <c r="S58" s="120">
        <f t="shared" si="20"/>
        <v>-3472.0919999319813</v>
      </c>
      <c r="T58">
        <f>mu_b*Q58</f>
        <v>0</v>
      </c>
      <c r="U58" t="str">
        <f t="shared" si="21"/>
        <v>Friction</v>
      </c>
      <c r="V58">
        <f>(L58+M58+N58+mu_u*0.1*(J58-K58))/(1-mu_u*0.24)</f>
        <v>13248.925474333153</v>
      </c>
      <c r="W58">
        <f t="shared" si="22"/>
        <v>2831.5384318792048</v>
      </c>
      <c r="X58">
        <f t="shared" si="23"/>
        <v>332.36002365781098</v>
      </c>
      <c r="Y58">
        <f t="shared" si="24"/>
        <v>0</v>
      </c>
      <c r="Z58">
        <f>MIN(mu_b*Q58,N58)</f>
        <v>0</v>
      </c>
      <c r="AA58">
        <f>mu_u*X58</f>
        <v>16.618001182890549</v>
      </c>
      <c r="AB58">
        <f t="shared" si="25"/>
        <v>-951.11300589744815</v>
      </c>
      <c r="AC58">
        <f>g_mps2/J58*W58</f>
        <v>1.2484947363110208</v>
      </c>
      <c r="AD58">
        <f t="shared" si="12"/>
        <v>0</v>
      </c>
      <c r="AE58" s="121">
        <f t="shared" si="26"/>
        <v>13.877417266084855</v>
      </c>
    </row>
    <row r="59" spans="1:31" ht="15" x14ac:dyDescent="0.35">
      <c r="A59" s="88"/>
      <c r="B59" s="73" t="s">
        <v>281</v>
      </c>
      <c r="C59" s="11" t="s">
        <v>303</v>
      </c>
      <c r="D59" s="11" t="s">
        <v>19</v>
      </c>
      <c r="E59" s="14">
        <f>0</f>
        <v>0</v>
      </c>
      <c r="G59">
        <v>53</v>
      </c>
      <c r="H59">
        <f t="shared" si="0"/>
        <v>27.265555555555558</v>
      </c>
      <c r="I59">
        <f>0.5*rho_kgpm3*H59^2</f>
        <v>455.33895008565867</v>
      </c>
      <c r="J59" s="120">
        <f t="shared" si="1"/>
        <v>22241.108076302498</v>
      </c>
      <c r="K59">
        <f>I59*CL*$E$30</f>
        <v>25713.20007623448</v>
      </c>
      <c r="L59">
        <f>I59*CD*$E$30</f>
        <v>2618.3922598565532</v>
      </c>
      <c r="M59">
        <f>T_rev_N</f>
        <v>1147.6411767372092</v>
      </c>
      <c r="N59">
        <f t="shared" si="2"/>
        <v>9341.2653920470511</v>
      </c>
      <c r="O59" s="120">
        <f>(L59+M59+(mu_b*(1-0.1)+mu_u*0.1)*($E$19-K59))/(1+0.24*(mu_b-mu_u))</f>
        <v>2831.5384318792048</v>
      </c>
      <c r="P59">
        <f t="shared" ref="P59:P71" si="50">MAX(0.1*(J59-K59)+0.24*O59,0)</f>
        <v>332.36002365781098</v>
      </c>
      <c r="Q59">
        <f t="shared" ref="Q59:Q71" si="51">MAX(0.9*(J59-K59)-0.24*O59,0)</f>
        <v>0</v>
      </c>
      <c r="R59">
        <f t="shared" ref="R59:R71" si="52">P59+Q59</f>
        <v>332.36002365781098</v>
      </c>
      <c r="S59" s="120">
        <f t="shared" ref="S59:S71" si="53">J59-K59</f>
        <v>-3472.0919999319813</v>
      </c>
      <c r="T59">
        <f>mu_b*Q59</f>
        <v>0</v>
      </c>
      <c r="U59" t="str">
        <f t="shared" ref="U59:U71" si="54">IF(Q59&lt;=M59,"Friction","Brake Limit")</f>
        <v>Friction</v>
      </c>
      <c r="V59">
        <f>(L59+M59+N59+mu_u*0.1*(J59-K59))/(1-mu_u*0.24)</f>
        <v>13248.925474333153</v>
      </c>
      <c r="W59">
        <f t="shared" ref="W59:W71" si="55">IF(T59&lt;N59,O59,V59)</f>
        <v>2831.5384318792048</v>
      </c>
      <c r="X59">
        <f t="shared" ref="X59:X71" si="56">MAX(0.1*(J59-K59)+0.24*W59,0)</f>
        <v>332.36002365781098</v>
      </c>
      <c r="Y59">
        <f t="shared" ref="Y59:Y71" si="57">MAX(0.9*(J59-K59)-0.24*W59,0)</f>
        <v>0</v>
      </c>
      <c r="Z59">
        <f>MIN(mu_b*Q59,N59)</f>
        <v>0</v>
      </c>
      <c r="AA59">
        <f>mu_u*X59</f>
        <v>16.618001182890549</v>
      </c>
      <c r="AB59">
        <f t="shared" ref="AB59:AB71" si="58">W59-(L59+M59+Z59+AA59)</f>
        <v>-951.11300589744815</v>
      </c>
      <c r="AC59">
        <f>g_mps2/J59*W59</f>
        <v>1.2484947363110208</v>
      </c>
      <c r="AD59">
        <f t="shared" ref="AD59:AD71" si="59">-(H59^2-H58^2)/(2*AC59)</f>
        <v>0</v>
      </c>
      <c r="AE59" s="121">
        <f t="shared" ref="AE59:AE71" si="60">AE58+AD59</f>
        <v>13.877417266084855</v>
      </c>
    </row>
    <row r="60" spans="1:31" ht="15" x14ac:dyDescent="0.35">
      <c r="A60" s="88"/>
      <c r="B60" s="73" t="s">
        <v>282</v>
      </c>
      <c r="C60" s="11" t="s">
        <v>296</v>
      </c>
      <c r="D60" s="11" t="s">
        <v>109</v>
      </c>
      <c r="E60" s="18">
        <f t="shared" ref="E60" si="61">E48-E12*E16</f>
        <v>5140.1201987973636</v>
      </c>
      <c r="G60">
        <v>53</v>
      </c>
      <c r="H60">
        <f t="shared" si="0"/>
        <v>27.265555555555558</v>
      </c>
      <c r="I60">
        <f>0.5*rho_kgpm3*H60^2</f>
        <v>455.33895008565867</v>
      </c>
      <c r="J60" s="120">
        <f t="shared" si="1"/>
        <v>22241.108076302498</v>
      </c>
      <c r="K60">
        <f>I60*CL*$E$30</f>
        <v>25713.20007623448</v>
      </c>
      <c r="L60">
        <f>I60*CD*$E$30</f>
        <v>2618.3922598565532</v>
      </c>
      <c r="M60">
        <f>T_rev_N</f>
        <v>1147.6411767372092</v>
      </c>
      <c r="N60">
        <f t="shared" si="2"/>
        <v>9341.2653920470511</v>
      </c>
      <c r="O60" s="120">
        <f>(L60+M60+(mu_b*(1-0.1)+mu_u*0.1)*($E$19-K60))/(1+0.24*(mu_b-mu_u))</f>
        <v>2831.5384318792048</v>
      </c>
      <c r="P60">
        <f t="shared" si="50"/>
        <v>332.36002365781098</v>
      </c>
      <c r="Q60">
        <f t="shared" si="51"/>
        <v>0</v>
      </c>
      <c r="R60">
        <f t="shared" si="52"/>
        <v>332.36002365781098</v>
      </c>
      <c r="S60" s="120">
        <f t="shared" si="53"/>
        <v>-3472.0919999319813</v>
      </c>
      <c r="T60">
        <f>mu_b*Q60</f>
        <v>0</v>
      </c>
      <c r="U60" t="str">
        <f t="shared" si="54"/>
        <v>Friction</v>
      </c>
      <c r="V60">
        <f>(L60+M60+N60+mu_u*0.1*(J60-K60))/(1-mu_u*0.24)</f>
        <v>13248.925474333153</v>
      </c>
      <c r="W60">
        <f t="shared" si="55"/>
        <v>2831.5384318792048</v>
      </c>
      <c r="X60">
        <f t="shared" si="56"/>
        <v>332.36002365781098</v>
      </c>
      <c r="Y60">
        <f t="shared" si="57"/>
        <v>0</v>
      </c>
      <c r="Z60">
        <f>MIN(mu_b*Q60,N60)</f>
        <v>0</v>
      </c>
      <c r="AA60">
        <f>mu_u*X60</f>
        <v>16.618001182890549</v>
      </c>
      <c r="AB60">
        <f t="shared" si="58"/>
        <v>-951.11300589744815</v>
      </c>
      <c r="AC60">
        <f>g_mps2/J60*W60</f>
        <v>1.2484947363110208</v>
      </c>
      <c r="AD60">
        <f t="shared" si="59"/>
        <v>0</v>
      </c>
      <c r="AE60" s="121">
        <f t="shared" si="60"/>
        <v>13.877417266084855</v>
      </c>
    </row>
    <row r="61" spans="1:31" ht="15" x14ac:dyDescent="0.35">
      <c r="A61" s="88"/>
      <c r="B61" s="73" t="s">
        <v>284</v>
      </c>
      <c r="C61" s="11" t="s">
        <v>297</v>
      </c>
      <c r="D61" s="11" t="s">
        <v>109</v>
      </c>
      <c r="E61" s="18">
        <f t="shared" ref="E61" si="62">E48-E50</f>
        <v>6145.492580663913</v>
      </c>
      <c r="G61">
        <v>53</v>
      </c>
      <c r="H61">
        <f t="shared" si="0"/>
        <v>27.265555555555558</v>
      </c>
      <c r="I61">
        <f>0.5*rho_kgpm3*H61^2</f>
        <v>455.33895008565867</v>
      </c>
      <c r="J61" s="120">
        <f t="shared" si="1"/>
        <v>22241.108076302498</v>
      </c>
      <c r="K61">
        <f>I61*CL*$E$30</f>
        <v>25713.20007623448</v>
      </c>
      <c r="L61">
        <f>I61*CD*$E$30</f>
        <v>2618.3922598565532</v>
      </c>
      <c r="M61">
        <f>T_rev_N</f>
        <v>1147.6411767372092</v>
      </c>
      <c r="N61">
        <f t="shared" si="2"/>
        <v>9341.2653920470511</v>
      </c>
      <c r="O61" s="120">
        <f>(L61+M61+(mu_b*(1-0.1)+mu_u*0.1)*($E$19-K61))/(1+0.24*(mu_b-mu_u))</f>
        <v>2831.5384318792048</v>
      </c>
      <c r="P61">
        <f t="shared" si="50"/>
        <v>332.36002365781098</v>
      </c>
      <c r="Q61">
        <f t="shared" si="51"/>
        <v>0</v>
      </c>
      <c r="R61">
        <f t="shared" si="52"/>
        <v>332.36002365781098</v>
      </c>
      <c r="S61" s="120">
        <f t="shared" si="53"/>
        <v>-3472.0919999319813</v>
      </c>
      <c r="T61">
        <f>mu_b*Q61</f>
        <v>0</v>
      </c>
      <c r="U61" t="str">
        <f t="shared" si="54"/>
        <v>Friction</v>
      </c>
      <c r="V61">
        <f>(L61+M61+N61+mu_u*0.1*(J61-K61))/(1-mu_u*0.24)</f>
        <v>13248.925474333153</v>
      </c>
      <c r="W61">
        <f t="shared" si="55"/>
        <v>2831.5384318792048</v>
      </c>
      <c r="X61">
        <f t="shared" si="56"/>
        <v>332.36002365781098</v>
      </c>
      <c r="Y61">
        <f t="shared" si="57"/>
        <v>0</v>
      </c>
      <c r="Z61">
        <f>MIN(mu_b*Q61,N61)</f>
        <v>0</v>
      </c>
      <c r="AA61">
        <f>mu_u*X61</f>
        <v>16.618001182890549</v>
      </c>
      <c r="AB61">
        <f t="shared" si="58"/>
        <v>-951.11300589744815</v>
      </c>
      <c r="AC61">
        <f>g_mps2/J61*W61</f>
        <v>1.2484947363110208</v>
      </c>
      <c r="AD61">
        <f t="shared" si="59"/>
        <v>0</v>
      </c>
      <c r="AE61" s="121">
        <f t="shared" si="60"/>
        <v>13.877417266084855</v>
      </c>
    </row>
    <row r="62" spans="1:31" ht="15" x14ac:dyDescent="0.35">
      <c r="A62" s="88"/>
      <c r="B62" s="73" t="s">
        <v>285</v>
      </c>
      <c r="C62" s="11" t="s">
        <v>298</v>
      </c>
      <c r="D62" s="11" t="s">
        <v>109</v>
      </c>
      <c r="E62" s="18">
        <f t="shared" ref="E62" si="63">E49+E13*E19</f>
        <v>6707.9181958128338</v>
      </c>
      <c r="G62">
        <v>53</v>
      </c>
      <c r="H62">
        <f t="shared" si="0"/>
        <v>27.265555555555558</v>
      </c>
      <c r="I62">
        <f>0.5*rho_kgpm3*H62^2</f>
        <v>455.33895008565867</v>
      </c>
      <c r="J62" s="120">
        <f t="shared" si="1"/>
        <v>22241.108076302498</v>
      </c>
      <c r="K62">
        <f>I62*CL*$E$30</f>
        <v>25713.20007623448</v>
      </c>
      <c r="L62">
        <f>I62*CD*$E$30</f>
        <v>2618.3922598565532</v>
      </c>
      <c r="M62">
        <f>T_rev_N</f>
        <v>1147.6411767372092</v>
      </c>
      <c r="N62">
        <f t="shared" si="2"/>
        <v>9341.2653920470511</v>
      </c>
      <c r="O62" s="120">
        <f>(L62+M62+(mu_b*(1-0.1)+mu_u*0.1)*($E$19-K62))/(1+0.24*(mu_b-mu_u))</f>
        <v>2831.5384318792048</v>
      </c>
      <c r="P62">
        <f t="shared" si="50"/>
        <v>332.36002365781098</v>
      </c>
      <c r="Q62">
        <f t="shared" si="51"/>
        <v>0</v>
      </c>
      <c r="R62">
        <f t="shared" si="52"/>
        <v>332.36002365781098</v>
      </c>
      <c r="S62" s="120">
        <f t="shared" si="53"/>
        <v>-3472.0919999319813</v>
      </c>
      <c r="T62">
        <f>mu_b*Q62</f>
        <v>0</v>
      </c>
      <c r="U62" t="str">
        <f t="shared" si="54"/>
        <v>Friction</v>
      </c>
      <c r="V62">
        <f>(L62+M62+N62+mu_u*0.1*(J62-K62))/(1-mu_u*0.24)</f>
        <v>13248.925474333153</v>
      </c>
      <c r="W62">
        <f t="shared" si="55"/>
        <v>2831.5384318792048</v>
      </c>
      <c r="X62">
        <f t="shared" si="56"/>
        <v>332.36002365781098</v>
      </c>
      <c r="Y62">
        <f t="shared" si="57"/>
        <v>0</v>
      </c>
      <c r="Z62">
        <f>MIN(mu_b*Q62,N62)</f>
        <v>0</v>
      </c>
      <c r="AA62">
        <f>mu_u*X62</f>
        <v>16.618001182890549</v>
      </c>
      <c r="AB62">
        <f t="shared" si="58"/>
        <v>-951.11300589744815</v>
      </c>
      <c r="AC62">
        <f>g_mps2/J62*W62</f>
        <v>1.2484947363110208</v>
      </c>
      <c r="AD62">
        <f t="shared" si="59"/>
        <v>0</v>
      </c>
      <c r="AE62" s="121">
        <f t="shared" si="60"/>
        <v>13.877417266084855</v>
      </c>
    </row>
    <row r="63" spans="1:31" ht="15" x14ac:dyDescent="0.35">
      <c r="A63" s="88"/>
      <c r="B63" s="73" t="s">
        <v>283</v>
      </c>
      <c r="C63" s="11" t="s">
        <v>299</v>
      </c>
      <c r="D63" s="11" t="s">
        <v>109</v>
      </c>
      <c r="E63" s="18">
        <f t="shared" ref="E63" si="64">E49+E51</f>
        <v>1254.3241986857843</v>
      </c>
      <c r="G63">
        <v>53</v>
      </c>
      <c r="H63">
        <f t="shared" si="0"/>
        <v>27.265555555555558</v>
      </c>
      <c r="I63">
        <f>0.5*rho_kgpm3*H63^2</f>
        <v>455.33895008565867</v>
      </c>
      <c r="J63" s="120">
        <f t="shared" si="1"/>
        <v>22241.108076302498</v>
      </c>
      <c r="K63">
        <f>I63*CL*$E$30</f>
        <v>25713.20007623448</v>
      </c>
      <c r="L63">
        <f>I63*CD*$E$30</f>
        <v>2618.3922598565532</v>
      </c>
      <c r="M63">
        <f>T_rev_N</f>
        <v>1147.6411767372092</v>
      </c>
      <c r="N63">
        <f t="shared" si="2"/>
        <v>9341.2653920470511</v>
      </c>
      <c r="O63" s="120">
        <f>(L63+M63+(mu_b*(1-0.1)+mu_u*0.1)*($E$19-K63))/(1+0.24*(mu_b-mu_u))</f>
        <v>2831.5384318792048</v>
      </c>
      <c r="P63">
        <f t="shared" si="50"/>
        <v>332.36002365781098</v>
      </c>
      <c r="Q63">
        <f t="shared" si="51"/>
        <v>0</v>
      </c>
      <c r="R63">
        <f t="shared" si="52"/>
        <v>332.36002365781098</v>
      </c>
      <c r="S63" s="120">
        <f t="shared" si="53"/>
        <v>-3472.0919999319813</v>
      </c>
      <c r="T63">
        <f>mu_b*Q63</f>
        <v>0</v>
      </c>
      <c r="U63" t="str">
        <f t="shared" si="54"/>
        <v>Friction</v>
      </c>
      <c r="V63">
        <f>(L63+M63+N63+mu_u*0.1*(J63-K63))/(1-mu_u*0.24)</f>
        <v>13248.925474333153</v>
      </c>
      <c r="W63">
        <f t="shared" si="55"/>
        <v>2831.5384318792048</v>
      </c>
      <c r="X63">
        <f t="shared" si="56"/>
        <v>332.36002365781098</v>
      </c>
      <c r="Y63">
        <f t="shared" si="57"/>
        <v>0</v>
      </c>
      <c r="Z63">
        <f>MIN(mu_b*Q63,N63)</f>
        <v>0</v>
      </c>
      <c r="AA63">
        <f>mu_u*X63</f>
        <v>16.618001182890549</v>
      </c>
      <c r="AB63">
        <f t="shared" si="58"/>
        <v>-951.11300589744815</v>
      </c>
      <c r="AC63">
        <f>g_mps2/J63*W63</f>
        <v>1.2484947363110208</v>
      </c>
      <c r="AD63">
        <f t="shared" si="59"/>
        <v>0</v>
      </c>
      <c r="AE63" s="121">
        <f t="shared" si="60"/>
        <v>13.877417266084855</v>
      </c>
    </row>
    <row r="64" spans="1:31" ht="15" x14ac:dyDescent="0.35">
      <c r="A64" s="88"/>
      <c r="B64" s="73" t="s">
        <v>304</v>
      </c>
      <c r="C64" s="11" t="s">
        <v>304</v>
      </c>
      <c r="D64" s="11" t="s">
        <v>109</v>
      </c>
      <c r="E64" s="18">
        <f t="shared" ref="E64" si="65">E48-E12*E16</f>
        <v>5140.1201987973636</v>
      </c>
      <c r="G64">
        <v>53</v>
      </c>
      <c r="H64">
        <f t="shared" si="0"/>
        <v>27.265555555555558</v>
      </c>
      <c r="I64">
        <f>0.5*rho_kgpm3*H64^2</f>
        <v>455.33895008565867</v>
      </c>
      <c r="J64" s="120">
        <f t="shared" si="1"/>
        <v>22241.108076302498</v>
      </c>
      <c r="K64">
        <f>I64*CL*$E$30</f>
        <v>25713.20007623448</v>
      </c>
      <c r="L64">
        <f>I64*CD*$E$30</f>
        <v>2618.3922598565532</v>
      </c>
      <c r="M64">
        <f>T_rev_N</f>
        <v>1147.6411767372092</v>
      </c>
      <c r="N64">
        <f t="shared" si="2"/>
        <v>9341.2653920470511</v>
      </c>
      <c r="O64" s="120">
        <f>(L64+M64+(mu_b*(1-0.1)+mu_u*0.1)*($E$19-K64))/(1+0.24*(mu_b-mu_u))</f>
        <v>2831.5384318792048</v>
      </c>
      <c r="P64">
        <f t="shared" si="50"/>
        <v>332.36002365781098</v>
      </c>
      <c r="Q64">
        <f t="shared" si="51"/>
        <v>0</v>
      </c>
      <c r="R64">
        <f t="shared" si="52"/>
        <v>332.36002365781098</v>
      </c>
      <c r="S64" s="120">
        <f t="shared" si="53"/>
        <v>-3472.0919999319813</v>
      </c>
      <c r="T64">
        <f>mu_b*Q64</f>
        <v>0</v>
      </c>
      <c r="U64" t="str">
        <f t="shared" si="54"/>
        <v>Friction</v>
      </c>
      <c r="V64">
        <f>(L64+M64+N64+mu_u*0.1*(J64-K64))/(1-mu_u*0.24)</f>
        <v>13248.925474333153</v>
      </c>
      <c r="W64">
        <f t="shared" si="55"/>
        <v>2831.5384318792048</v>
      </c>
      <c r="X64">
        <f t="shared" si="56"/>
        <v>332.36002365781098</v>
      </c>
      <c r="Y64">
        <f t="shared" si="57"/>
        <v>0</v>
      </c>
      <c r="Z64">
        <f>MIN(mu_b*Q64,N64)</f>
        <v>0</v>
      </c>
      <c r="AA64">
        <f>mu_u*X64</f>
        <v>16.618001182890549</v>
      </c>
      <c r="AB64">
        <f t="shared" si="58"/>
        <v>-951.11300589744815</v>
      </c>
      <c r="AC64">
        <f>g_mps2/J64*W64</f>
        <v>1.2484947363110208</v>
      </c>
      <c r="AD64">
        <f t="shared" si="59"/>
        <v>0</v>
      </c>
      <c r="AE64" s="121">
        <f t="shared" si="60"/>
        <v>13.877417266084855</v>
      </c>
    </row>
    <row r="65" spans="1:31" ht="15" x14ac:dyDescent="0.35">
      <c r="A65" s="88"/>
      <c r="B65" s="73" t="s">
        <v>306</v>
      </c>
      <c r="C65" s="11" t="s">
        <v>306</v>
      </c>
      <c r="D65" s="11" t="s">
        <v>109</v>
      </c>
      <c r="E65" s="18">
        <f t="shared" ref="E65" si="66">0.5*E11*E30*(E43-E12*E39)</f>
        <v>1.792727195315285</v>
      </c>
      <c r="J65" s="120"/>
      <c r="O65" s="120"/>
      <c r="S65" s="120"/>
      <c r="AE65" s="121"/>
    </row>
    <row r="66" spans="1:31" ht="15" x14ac:dyDescent="0.35">
      <c r="A66" s="88"/>
      <c r="B66" s="73" t="s">
        <v>311</v>
      </c>
      <c r="C66" s="73" t="s">
        <v>311</v>
      </c>
      <c r="D66" s="11" t="s">
        <v>109</v>
      </c>
      <c r="E66" s="18">
        <f t="shared" ref="E66" si="67">0.5*E11*E30*(E43-E13*E39)</f>
        <v>-5.124904286352411</v>
      </c>
      <c r="J66" s="120"/>
      <c r="O66" s="120"/>
      <c r="S66" s="120"/>
      <c r="AE66" s="121"/>
    </row>
    <row r="67" spans="1:31" ht="15" x14ac:dyDescent="0.35">
      <c r="A67" s="88"/>
      <c r="B67" s="73" t="s">
        <v>312</v>
      </c>
      <c r="C67" s="73" t="s">
        <v>312</v>
      </c>
      <c r="D67" s="11" t="s">
        <v>109</v>
      </c>
      <c r="E67" s="18">
        <f t="shared" ref="E67" si="68">E49+E13*E16</f>
        <v>6707.9181958128338</v>
      </c>
      <c r="J67" s="120"/>
      <c r="O67" s="120"/>
      <c r="S67" s="120"/>
      <c r="AE67" s="121"/>
    </row>
    <row r="68" spans="1:31" ht="15" x14ac:dyDescent="0.35">
      <c r="A68" s="88"/>
      <c r="B68" s="73" t="s">
        <v>309</v>
      </c>
      <c r="C68" s="73" t="s">
        <v>322</v>
      </c>
      <c r="D68" s="11" t="s">
        <v>19</v>
      </c>
      <c r="E68" s="14">
        <f t="shared" ref="E68" si="69">E21</f>
        <v>25.357970767903616</v>
      </c>
      <c r="J68" s="120"/>
      <c r="O68" s="120"/>
      <c r="S68" s="120"/>
      <c r="AE68" s="121"/>
    </row>
    <row r="69" spans="1:31" ht="15" x14ac:dyDescent="0.35">
      <c r="A69" s="89"/>
      <c r="B69" s="73" t="s">
        <v>310</v>
      </c>
      <c r="C69" s="73" t="s">
        <v>323</v>
      </c>
      <c r="D69" s="11" t="s">
        <v>324</v>
      </c>
      <c r="E69" s="14">
        <v>1</v>
      </c>
      <c r="J69" s="120"/>
      <c r="O69" s="120"/>
      <c r="S69" s="120"/>
      <c r="AE69" s="121"/>
    </row>
    <row r="70" spans="1:31" ht="15" x14ac:dyDescent="0.35">
      <c r="A70" s="87" t="s">
        <v>103</v>
      </c>
      <c r="B70" s="87" t="s">
        <v>164</v>
      </c>
      <c r="C70" s="11" t="s">
        <v>157</v>
      </c>
      <c r="D70" s="11" t="s">
        <v>106</v>
      </c>
      <c r="E70" s="15">
        <f t="shared" ref="E70" si="70">1/(2*E3*E53)*LN((E52+E53*E57^2)/(E52+E53*E56^2))</f>
        <v>200.25343468272672</v>
      </c>
      <c r="J70" s="120"/>
      <c r="O70" s="120"/>
      <c r="S70" s="120"/>
      <c r="AE70" s="121"/>
    </row>
    <row r="71" spans="1:31" ht="15" x14ac:dyDescent="0.35">
      <c r="A71" s="88"/>
      <c r="B71" s="89"/>
      <c r="C71" s="11" t="s">
        <v>158</v>
      </c>
      <c r="D71" s="11" t="s">
        <v>100</v>
      </c>
      <c r="E71" s="15">
        <f t="shared" ref="E71" si="71">E70*CONVERT(1,"m","ft")</f>
        <v>656.99945762049447</v>
      </c>
      <c r="J71" s="120"/>
      <c r="O71" s="120"/>
      <c r="S71" s="120"/>
      <c r="AE71" s="121"/>
    </row>
    <row r="72" spans="1:31" x14ac:dyDescent="0.25">
      <c r="A72" s="88"/>
      <c r="B72" s="87" t="s">
        <v>163</v>
      </c>
      <c r="C72" s="11" t="s">
        <v>157</v>
      </c>
      <c r="D72" s="11" t="s">
        <v>106</v>
      </c>
      <c r="E72" s="15">
        <f t="shared" ref="E72" si="72">E16/(2*E3)*E26^2/(E60-E61)*LN(E60/E61)</f>
        <v>156.77535499545104</v>
      </c>
    </row>
    <row r="73" spans="1:31" x14ac:dyDescent="0.25">
      <c r="A73" s="89"/>
      <c r="B73" s="89"/>
      <c r="C73" s="11" t="s">
        <v>158</v>
      </c>
      <c r="D73" s="11" t="s">
        <v>100</v>
      </c>
      <c r="E73" s="15">
        <f t="shared" ref="E73" si="73">E72*CONVERT(1,"m","ft")</f>
        <v>514.35483922392075</v>
      </c>
    </row>
    <row r="74" spans="1:31" x14ac:dyDescent="0.25">
      <c r="A74" s="82"/>
      <c r="B74" s="82" t="s">
        <v>357</v>
      </c>
      <c r="C74" s="11"/>
      <c r="D74" s="11"/>
      <c r="E74" s="15">
        <f>50*CONVERT(1,"ft","m")/TAN(RADIANS(6))</f>
        <v>144.99891428235219</v>
      </c>
    </row>
    <row r="75" spans="1:31" x14ac:dyDescent="0.25">
      <c r="A75" s="82"/>
      <c r="B75" s="82"/>
      <c r="C75" s="11"/>
      <c r="D75" s="11"/>
      <c r="E75" s="15">
        <f>50/TAN(RADIANS(6))</f>
        <v>475.71822271112921</v>
      </c>
    </row>
    <row r="76" spans="1:31" x14ac:dyDescent="0.25">
      <c r="A76" s="87" t="s">
        <v>156</v>
      </c>
      <c r="B76" s="87" t="s">
        <v>164</v>
      </c>
      <c r="C76" s="11" t="s">
        <v>157</v>
      </c>
      <c r="D76" s="11" t="s">
        <v>106</v>
      </c>
      <c r="E76" s="15">
        <f t="shared" ref="E76" si="74">1/(2*E3*E55)*LN((E54+E55*E59^2)/(E54+E55*E58^2))</f>
        <v>199.69524737322149</v>
      </c>
    </row>
    <row r="77" spans="1:31" x14ac:dyDescent="0.25">
      <c r="A77" s="88"/>
      <c r="B77" s="89"/>
      <c r="C77" s="11" t="s">
        <v>158</v>
      </c>
      <c r="D77" s="11" t="s">
        <v>100</v>
      </c>
      <c r="E77" s="15">
        <f t="shared" ref="E77" si="75">E76*CONVERT(1,"m","ft")</f>
        <v>655.16813442657974</v>
      </c>
    </row>
    <row r="78" spans="1:31" x14ac:dyDescent="0.25">
      <c r="A78" s="88"/>
      <c r="B78" s="87" t="s">
        <v>163</v>
      </c>
      <c r="C78" s="11" t="s">
        <v>157</v>
      </c>
      <c r="D78" s="11" t="s">
        <v>106</v>
      </c>
      <c r="E78" s="15">
        <f t="shared" ref="E78" si="76">E19/(2*E3)*E28^2/(E62-E63)*LN(E62/E63)</f>
        <v>271.26297908411186</v>
      </c>
    </row>
    <row r="79" spans="1:31" x14ac:dyDescent="0.25">
      <c r="A79" s="89"/>
      <c r="B79" s="89"/>
      <c r="C79" s="11" t="s">
        <v>158</v>
      </c>
      <c r="D79" s="11" t="s">
        <v>100</v>
      </c>
      <c r="E79" s="15">
        <f t="shared" ref="E79" si="77">E78*CONVERT(1,"m","ft")</f>
        <v>889.97040381926467</v>
      </c>
    </row>
    <row r="80" spans="1:31" x14ac:dyDescent="0.25">
      <c r="A80" s="95" t="s">
        <v>290</v>
      </c>
      <c r="B80" s="11" t="s">
        <v>291</v>
      </c>
      <c r="C80" s="11" t="s">
        <v>333</v>
      </c>
      <c r="D80" s="11" t="s">
        <v>106</v>
      </c>
      <c r="E80" s="15">
        <f t="shared" ref="E80" si="78">0.5*E15/E65*LN(E64/(E64-E65*E68^2))</f>
        <v>160.63479506411002</v>
      </c>
    </row>
    <row r="81" spans="1:5" x14ac:dyDescent="0.25">
      <c r="A81" s="95"/>
      <c r="B81" s="11" t="s">
        <v>292</v>
      </c>
      <c r="C81" s="11" t="s">
        <v>334</v>
      </c>
      <c r="D81" s="11" t="s">
        <v>106</v>
      </c>
      <c r="E81" s="15">
        <f t="shared" ref="E81" si="79">E68*E69</f>
        <v>25.357970767903616</v>
      </c>
    </row>
    <row r="82" spans="1:5" x14ac:dyDescent="0.25">
      <c r="A82" s="95"/>
      <c r="B82" s="11" t="s">
        <v>293</v>
      </c>
      <c r="C82" s="11" t="s">
        <v>335</v>
      </c>
      <c r="D82" s="11" t="s">
        <v>106</v>
      </c>
      <c r="E82" s="15">
        <f t="shared" ref="E82" si="80">0.5*E15</f>
        <v>1133.9809250000001</v>
      </c>
    </row>
    <row r="83" spans="1:5" x14ac:dyDescent="0.25">
      <c r="A83" s="95"/>
      <c r="B83" s="95" t="s">
        <v>294</v>
      </c>
      <c r="C83" s="11" t="s">
        <v>331</v>
      </c>
      <c r="D83" s="11" t="s">
        <v>106</v>
      </c>
      <c r="E83" s="15">
        <f t="shared" ref="E83" si="81">SUM(E80:E82)</f>
        <v>1319.9736908320137</v>
      </c>
    </row>
    <row r="84" spans="1:5" x14ac:dyDescent="0.25">
      <c r="A84" s="95"/>
      <c r="B84" s="95"/>
      <c r="C84" s="11" t="s">
        <v>332</v>
      </c>
      <c r="D84" s="11" t="s">
        <v>100</v>
      </c>
      <c r="E84" s="15">
        <f t="shared" ref="E84" si="82">E83*CONVERT(1,"m","ft")</f>
        <v>4330.6223452493887</v>
      </c>
    </row>
  </sheetData>
  <mergeCells count="24">
    <mergeCell ref="A80:A84"/>
    <mergeCell ref="B83:B84"/>
    <mergeCell ref="A70:A73"/>
    <mergeCell ref="B70:B71"/>
    <mergeCell ref="B72:B73"/>
    <mergeCell ref="A76:A79"/>
    <mergeCell ref="B76:B77"/>
    <mergeCell ref="B78:B79"/>
    <mergeCell ref="A29:A49"/>
    <mergeCell ref="B29:B30"/>
    <mergeCell ref="B31:B32"/>
    <mergeCell ref="B33:B34"/>
    <mergeCell ref="B47:B48"/>
    <mergeCell ref="A50:A69"/>
    <mergeCell ref="A3:A11"/>
    <mergeCell ref="A12:A13"/>
    <mergeCell ref="A14:A19"/>
    <mergeCell ref="B14:B16"/>
    <mergeCell ref="B17:B19"/>
    <mergeCell ref="A20:A28"/>
    <mergeCell ref="B20:B21"/>
    <mergeCell ref="B22:B23"/>
    <mergeCell ref="B25:B26"/>
    <mergeCell ref="B27:B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9E40-9642-45E2-BDB4-4F551D07931E}">
  <dimension ref="B3:H6"/>
  <sheetViews>
    <sheetView workbookViewId="0">
      <selection activeCell="F13" sqref="F13"/>
    </sheetView>
  </sheetViews>
  <sheetFormatPr defaultRowHeight="14" x14ac:dyDescent="0.25"/>
  <sheetData>
    <row r="3" spans="2:8" x14ac:dyDescent="0.25">
      <c r="C3" t="s">
        <v>363</v>
      </c>
      <c r="D3" t="s">
        <v>362</v>
      </c>
      <c r="E3" t="s">
        <v>360</v>
      </c>
      <c r="F3" t="s">
        <v>361</v>
      </c>
      <c r="G3" t="s">
        <v>364</v>
      </c>
      <c r="H3" t="s">
        <v>365</v>
      </c>
    </row>
    <row r="4" spans="2:8" x14ac:dyDescent="0.25">
      <c r="B4">
        <v>5000</v>
      </c>
      <c r="C4">
        <v>190.39828492670756</v>
      </c>
    </row>
    <row r="5" spans="2:8" x14ac:dyDescent="0.25">
      <c r="B5">
        <v>6000</v>
      </c>
      <c r="C5">
        <v>291.8</v>
      </c>
      <c r="E5">
        <v>244</v>
      </c>
      <c r="G5">
        <v>267.04616514556693</v>
      </c>
    </row>
    <row r="6" spans="2:8" x14ac:dyDescent="0.25">
      <c r="B6">
        <v>7000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36AE-649C-4BF5-AEDD-4634A337D926}">
  <dimension ref="A1"/>
  <sheetViews>
    <sheetView workbookViewId="0">
      <selection activeCell="B2" sqref="B2"/>
    </sheetView>
  </sheetViews>
  <sheetFormatPr defaultRowHeight="14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4D13-E91F-4162-B421-CD8A7D74F85F}">
  <dimension ref="C3:K3"/>
  <sheetViews>
    <sheetView workbookViewId="0">
      <selection activeCell="K3" sqref="K3"/>
    </sheetView>
  </sheetViews>
  <sheetFormatPr defaultRowHeight="14" x14ac:dyDescent="0.25"/>
  <cols>
    <col min="2" max="2" width="20.90625" customWidth="1"/>
  </cols>
  <sheetData>
    <row r="3" spans="3:11" x14ac:dyDescent="0.25">
      <c r="C3" t="s">
        <v>165</v>
      </c>
      <c r="D3" t="s">
        <v>103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  <c r="J3" t="s">
        <v>171</v>
      </c>
      <c r="K3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5AC9-B46A-4E83-B22F-8E08B28DC316}">
  <dimension ref="A1:J27"/>
  <sheetViews>
    <sheetView zoomScale="105" workbookViewId="0">
      <selection activeCell="C33" sqref="C33"/>
    </sheetView>
  </sheetViews>
  <sheetFormatPr defaultColWidth="8.7265625" defaultRowHeight="14.5" x14ac:dyDescent="0.35"/>
  <cols>
    <col min="1" max="1" width="19.453125" style="1" bestFit="1" customWidth="1"/>
    <col min="2" max="2" width="34" style="1" bestFit="1" customWidth="1"/>
    <col min="3" max="3" width="13.90625" style="1" bestFit="1" customWidth="1"/>
    <col min="4" max="4" width="11" style="1" bestFit="1" customWidth="1"/>
    <col min="5" max="5" width="8.7265625" style="1"/>
    <col min="6" max="6" width="9" style="1" bestFit="1" customWidth="1"/>
    <col min="7" max="7" width="17.90625" style="1" bestFit="1" customWidth="1"/>
    <col min="8" max="16384" width="8.7265625" style="1"/>
  </cols>
  <sheetData>
    <row r="1" spans="1:10" x14ac:dyDescent="0.35">
      <c r="B1" s="1" t="s">
        <v>65</v>
      </c>
      <c r="C1" s="1" t="s">
        <v>64</v>
      </c>
      <c r="D1" s="1" t="s">
        <v>17</v>
      </c>
      <c r="E1" s="1">
        <v>1.2250000000000001</v>
      </c>
    </row>
    <row r="2" spans="1:10" x14ac:dyDescent="0.35">
      <c r="A2" s="1" t="s">
        <v>7</v>
      </c>
    </row>
    <row r="3" spans="1:10" x14ac:dyDescent="0.35">
      <c r="B3" s="1" t="s">
        <v>90</v>
      </c>
      <c r="C3" s="1" t="s">
        <v>8</v>
      </c>
      <c r="D3" s="1" t="s">
        <v>18</v>
      </c>
      <c r="E3" s="1">
        <v>1.6</v>
      </c>
      <c r="G3" s="1" t="s">
        <v>21</v>
      </c>
      <c r="H3" s="1" t="s">
        <v>60</v>
      </c>
      <c r="I3" s="2">
        <f>Vs_1_ms^2*rho_kgm3*CLmax/2</f>
        <v>933.69608888888911</v>
      </c>
    </row>
    <row r="4" spans="1:10" x14ac:dyDescent="0.35">
      <c r="B4" s="1" t="s">
        <v>91</v>
      </c>
      <c r="C4" s="1" t="s">
        <v>89</v>
      </c>
      <c r="D4" s="1" t="s">
        <v>18</v>
      </c>
      <c r="H4" s="1" t="s">
        <v>61</v>
      </c>
      <c r="I4" s="2">
        <f>Vs_1_ms^2*rho_kgm3*CLmax/2/9.8</f>
        <v>95.27511111111113</v>
      </c>
    </row>
    <row r="5" spans="1:10" x14ac:dyDescent="0.35">
      <c r="B5" s="1" t="s">
        <v>92</v>
      </c>
      <c r="C5" s="1" t="s">
        <v>16</v>
      </c>
      <c r="D5" s="1" t="s">
        <v>18</v>
      </c>
      <c r="E5" s="2">
        <v>2</v>
      </c>
      <c r="H5" s="1" t="s">
        <v>22</v>
      </c>
      <c r="I5" s="2">
        <f>Vs_1_ms^2*rho_kgm3*CLmax/2/9.81 *CONVERT(1,"kg","lbm")/(CONVERT(1,"m","ft"))^2</f>
        <v>19.493989015459068</v>
      </c>
    </row>
    <row r="6" spans="1:10" x14ac:dyDescent="0.35">
      <c r="B6" s="1" t="s">
        <v>66</v>
      </c>
      <c r="C6" s="1" t="s">
        <v>25</v>
      </c>
      <c r="D6" s="1" t="s">
        <v>19</v>
      </c>
      <c r="E6" s="2">
        <f>Vs_0_ms</f>
        <v>25.722222222222225</v>
      </c>
      <c r="G6" s="1" t="s">
        <v>20</v>
      </c>
      <c r="H6" s="1" t="s">
        <v>60</v>
      </c>
      <c r="I6" s="2">
        <f>Vs_0_ms^2*rho_kgm3*CLmax_to/2</f>
        <v>810.50007716049413</v>
      </c>
    </row>
    <row r="7" spans="1:10" x14ac:dyDescent="0.35">
      <c r="B7" s="1" t="s">
        <v>67</v>
      </c>
      <c r="C7" s="1" t="s">
        <v>26</v>
      </c>
      <c r="D7" s="1" t="s">
        <v>27</v>
      </c>
      <c r="E7" s="2">
        <f>Vs_1_ms</f>
        <v>30.866666666666667</v>
      </c>
      <c r="H7" s="1" t="s">
        <v>61</v>
      </c>
      <c r="I7" s="2">
        <f>Vs_0_ms^2*rho_kgm3*CLmax_to/2/9.8</f>
        <v>82.704089506172863</v>
      </c>
    </row>
    <row r="8" spans="1:10" x14ac:dyDescent="0.35">
      <c r="H8" s="1" t="s">
        <v>22</v>
      </c>
      <c r="I8" s="2">
        <f>Vs_0_ms^2*rho_kgm3*CLmax_to/2/9.81 *CONVERT(1,"kg","lbm")/(CONVERT(1,"m","ft"))^2</f>
        <v>16.921865464808221</v>
      </c>
    </row>
    <row r="9" spans="1:10" x14ac:dyDescent="0.35">
      <c r="A9" s="1" t="s">
        <v>29</v>
      </c>
    </row>
    <row r="10" spans="1:10" x14ac:dyDescent="0.35">
      <c r="B10" s="1" t="s">
        <v>83</v>
      </c>
      <c r="C10" s="1" t="s">
        <v>82</v>
      </c>
      <c r="D10" s="1" t="s">
        <v>84</v>
      </c>
      <c r="E10" s="4">
        <v>0.86160000000000003</v>
      </c>
      <c r="J10" s="1" t="s">
        <v>86</v>
      </c>
    </row>
    <row r="11" spans="1:10" x14ac:dyDescent="0.35">
      <c r="B11" s="1" t="s">
        <v>81</v>
      </c>
      <c r="C11" s="1" t="s">
        <v>78</v>
      </c>
      <c r="D11" s="1" t="s">
        <v>80</v>
      </c>
      <c r="E11" s="2">
        <f>(-4.9+SQRT(4.9^2-4*0.009*(-S_TOG_ft)))/(2*0.009)</f>
        <v>158.14512015254027</v>
      </c>
      <c r="G11" s="1" t="s">
        <v>85</v>
      </c>
      <c r="I11" s="1">
        <v>10</v>
      </c>
      <c r="J11" s="2">
        <f>MIN(E11:E12)/I11*E10*CLmax_to</f>
        <v>25.087293216689879</v>
      </c>
    </row>
    <row r="12" spans="1:10" x14ac:dyDescent="0.35">
      <c r="B12" s="1" t="s">
        <v>81</v>
      </c>
      <c r="C12" s="1" t="s">
        <v>79</v>
      </c>
      <c r="D12" s="1" t="s">
        <v>80</v>
      </c>
      <c r="E12" s="2">
        <f>(-8.134+SQRT(8.134^2-4*0.0149*(-S_TO_ft)))/(2*0.0149)</f>
        <v>145.58549916834889</v>
      </c>
      <c r="I12" s="1">
        <v>20</v>
      </c>
      <c r="J12" s="2">
        <f>MIN(E11:E12)/I12*E10*CLmax_to</f>
        <v>12.54364660834494</v>
      </c>
    </row>
    <row r="13" spans="1:10" x14ac:dyDescent="0.35">
      <c r="B13" s="1" t="s">
        <v>88</v>
      </c>
      <c r="G13" s="2"/>
      <c r="I13" s="1">
        <v>30</v>
      </c>
      <c r="J13" s="2">
        <f>MIN(E11:E12)/I13*E10*CLmax_to</f>
        <v>8.3624310722299597</v>
      </c>
    </row>
    <row r="15" spans="1:10" x14ac:dyDescent="0.35">
      <c r="F15" s="3"/>
      <c r="G15" s="3"/>
    </row>
    <row r="22" spans="2:3" x14ac:dyDescent="0.35">
      <c r="B22" s="1" t="s">
        <v>68</v>
      </c>
      <c r="C22" s="1" t="s">
        <v>62</v>
      </c>
    </row>
    <row r="23" spans="2:3" x14ac:dyDescent="0.35">
      <c r="B23" s="1" t="s">
        <v>69</v>
      </c>
      <c r="C23" s="1" t="s">
        <v>63</v>
      </c>
    </row>
    <row r="24" spans="2:3" x14ac:dyDescent="0.35">
      <c r="B24" s="1" t="s">
        <v>70</v>
      </c>
      <c r="C24" s="1" t="s">
        <v>71</v>
      </c>
    </row>
    <row r="25" spans="2:3" x14ac:dyDescent="0.35">
      <c r="B25" s="1" t="s">
        <v>72</v>
      </c>
      <c r="C25" s="1" t="s">
        <v>73</v>
      </c>
    </row>
    <row r="26" spans="2:3" x14ac:dyDescent="0.35">
      <c r="B26" s="1" t="s">
        <v>74</v>
      </c>
      <c r="C26" s="1" t="s">
        <v>75</v>
      </c>
    </row>
    <row r="27" spans="2:3" x14ac:dyDescent="0.35">
      <c r="B27" s="1" t="s">
        <v>76</v>
      </c>
      <c r="C27" s="1" t="s">
        <v>77</v>
      </c>
    </row>
  </sheetData>
  <phoneticPr fontId="2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8E33-D274-4CB3-8A11-180F7B41DEB9}">
  <dimension ref="A1:Y111"/>
  <sheetViews>
    <sheetView workbookViewId="0">
      <selection activeCell="V56" sqref="V56"/>
    </sheetView>
  </sheetViews>
  <sheetFormatPr defaultColWidth="8.7265625" defaultRowHeight="14.5" x14ac:dyDescent="0.25"/>
  <cols>
    <col min="1" max="1" width="3.1796875" style="9" customWidth="1"/>
    <col min="2" max="3" width="3.1796875" style="5" customWidth="1"/>
    <col min="4" max="4" width="17.453125" style="5" customWidth="1"/>
    <col min="5" max="5" width="3.08984375" style="5" customWidth="1"/>
    <col min="6" max="6" width="12.90625" style="5" bestFit="1" customWidth="1"/>
    <col min="7" max="7" width="10.7265625" style="5" bestFit="1" customWidth="1"/>
    <col min="8" max="9" width="8.7265625" style="5"/>
    <col min="10" max="10" width="3.453125" style="5" customWidth="1"/>
    <col min="11" max="11" width="12.90625" style="5" bestFit="1" customWidth="1"/>
    <col min="12" max="12" width="10.7265625" style="5" bestFit="1" customWidth="1"/>
    <col min="13" max="14" width="8.7265625" style="5"/>
    <col min="15" max="15" width="3.453125" style="5" customWidth="1"/>
    <col min="16" max="16" width="12.90625" style="5" bestFit="1" customWidth="1"/>
    <col min="17" max="19" width="8.7265625" style="5"/>
    <col min="20" max="20" width="3.36328125" style="5" customWidth="1"/>
    <col min="21" max="21" width="12.90625" style="5" bestFit="1" customWidth="1"/>
    <col min="22" max="16384" width="8.7265625" style="5"/>
  </cols>
  <sheetData>
    <row r="1" spans="1:25" x14ac:dyDescent="0.25">
      <c r="B1" s="13"/>
      <c r="F1" s="5" t="s">
        <v>229</v>
      </c>
      <c r="K1" s="5" t="s">
        <v>230</v>
      </c>
    </row>
    <row r="2" spans="1:25" ht="15" thickBot="1" x14ac:dyDescent="0.3">
      <c r="K2" s="31" t="s">
        <v>219</v>
      </c>
      <c r="L2" s="30">
        <v>2.25</v>
      </c>
    </row>
    <row r="3" spans="1:25" ht="29" customHeight="1" thickBot="1" x14ac:dyDescent="0.3">
      <c r="F3" s="96" t="s">
        <v>231</v>
      </c>
      <c r="G3" s="97"/>
      <c r="H3" s="97"/>
      <c r="I3" s="98"/>
      <c r="K3" s="96" t="s">
        <v>232</v>
      </c>
      <c r="L3" s="97"/>
      <c r="M3" s="97"/>
      <c r="N3" s="98"/>
      <c r="P3" s="99" t="s">
        <v>210</v>
      </c>
      <c r="Q3" s="100"/>
      <c r="R3" s="100"/>
      <c r="S3" s="101"/>
      <c r="U3" s="102" t="s">
        <v>209</v>
      </c>
      <c r="V3" s="103"/>
      <c r="W3" s="103"/>
      <c r="X3" s="104"/>
    </row>
    <row r="4" spans="1:25" s="9" customFormat="1" ht="29.5" thickBot="1" x14ac:dyDescent="0.3">
      <c r="A4" s="9" t="s">
        <v>211</v>
      </c>
      <c r="B4" s="114" t="s">
        <v>174</v>
      </c>
      <c r="C4" s="115"/>
      <c r="D4" s="116"/>
      <c r="F4" s="67" t="s">
        <v>205</v>
      </c>
      <c r="G4" s="68" t="s">
        <v>207</v>
      </c>
      <c r="H4" s="68" t="s">
        <v>206</v>
      </c>
      <c r="I4" s="69" t="s">
        <v>208</v>
      </c>
      <c r="J4" s="19"/>
      <c r="K4" s="67" t="s">
        <v>205</v>
      </c>
      <c r="L4" s="68" t="s">
        <v>207</v>
      </c>
      <c r="M4" s="68" t="s">
        <v>206</v>
      </c>
      <c r="N4" s="69" t="s">
        <v>208</v>
      </c>
      <c r="O4" s="19"/>
      <c r="P4" s="70" t="s">
        <v>205</v>
      </c>
      <c r="Q4" s="68" t="s">
        <v>207</v>
      </c>
      <c r="R4" s="68" t="s">
        <v>206</v>
      </c>
      <c r="S4" s="68" t="s">
        <v>208</v>
      </c>
      <c r="T4" s="19"/>
      <c r="U4" s="70" t="s">
        <v>205</v>
      </c>
      <c r="V4" s="68" t="s">
        <v>207</v>
      </c>
      <c r="W4" s="68" t="s">
        <v>206</v>
      </c>
      <c r="X4" s="68" t="s">
        <v>208</v>
      </c>
      <c r="Y4" s="19"/>
    </row>
    <row r="5" spans="1:25" x14ac:dyDescent="0.25">
      <c r="A5" s="9">
        <v>1</v>
      </c>
      <c r="B5" s="64" t="s">
        <v>175</v>
      </c>
      <c r="C5" s="65"/>
      <c r="D5" s="66"/>
      <c r="F5" s="37" cm="1">
        <f t="array" ref="F5">SUM(($A6:$A12=2)*F6:F12)</f>
        <v>2548.1999999999998</v>
      </c>
      <c r="G5" s="21" cm="1">
        <f t="array" ref="G5">SUMPRODUCT(($A6:$A12=2)*F6:F12, G6:G12)/F5</f>
        <v>265.80394788478145</v>
      </c>
      <c r="H5" s="21" cm="1">
        <f t="array" ref="H5">SUMPRODUCT(($A6:$A12=2)*F6:F12, H6:H12)/F5</f>
        <v>0</v>
      </c>
      <c r="I5" s="38" cm="1">
        <f t="array" ref="I5">SUMPRODUCT(($A6:$A12=2)*F6:F12, I6:I12)/F5</f>
        <v>102.35525861392357</v>
      </c>
      <c r="K5" s="37" cm="1">
        <f t="array" ref="K5">SUM(($A6:$A12=2)*K6:K12)</f>
        <v>2548.1999999999998</v>
      </c>
      <c r="L5" s="21" cm="1">
        <f t="array" ref="L5">SUMPRODUCT(($A6:$A12=2)*K6:K12, L6:L12)/K5</f>
        <v>267.19843222666981</v>
      </c>
      <c r="M5" s="21" cm="1">
        <f t="array" ref="M5">SUMPRODUCT(($A6:$A12=2)*K6:K12, M6:M12)/K5</f>
        <v>0</v>
      </c>
      <c r="N5" s="38" cm="1">
        <f t="array" ref="N5">SUMPRODUCT(($A6:$A12=2)*K6:K12, N6:N12)/K5</f>
        <v>102.35525861392357</v>
      </c>
      <c r="P5" s="20">
        <f>SUM(P6:P9)</f>
        <v>2409.3000000000002</v>
      </c>
      <c r="Q5" s="21">
        <f>SUMPRODUCT(P6:P9, Q6:Q9)/P5</f>
        <v>266.8229153696094</v>
      </c>
      <c r="R5" s="21">
        <f>SUMPRODUCT(P6:P9, R6:R9)/P5</f>
        <v>0</v>
      </c>
      <c r="S5" s="21">
        <f>SUMPRODUCT(P6:P9, S6:S9)/P5</f>
        <v>102.44038517411695</v>
      </c>
      <c r="U5" s="20">
        <f>SUM(U6:U9)</f>
        <v>2409.3000000000002</v>
      </c>
      <c r="V5" s="21">
        <f>SUMPRODUCT(U6:U9, V6:V9)/U5</f>
        <v>266.8229153696094</v>
      </c>
      <c r="W5" s="21">
        <f>SUMPRODUCT(U6:U9, W6:W9)/U5</f>
        <v>0</v>
      </c>
      <c r="X5" s="21">
        <f>SUMPRODUCT(U6:U9, X6:X9)/U5</f>
        <v>102.44038517411695</v>
      </c>
    </row>
    <row r="6" spans="1:25" x14ac:dyDescent="0.25">
      <c r="A6" s="9">
        <v>2</v>
      </c>
      <c r="B6" s="42"/>
      <c r="C6" s="10" t="s">
        <v>176</v>
      </c>
      <c r="D6" s="48"/>
      <c r="F6" s="39">
        <v>1076.3</v>
      </c>
      <c r="G6" s="33">
        <v>258.5</v>
      </c>
      <c r="H6" s="23">
        <v>0</v>
      </c>
      <c r="I6" s="40">
        <v>117.4</v>
      </c>
      <c r="K6" s="39">
        <v>1076.3</v>
      </c>
      <c r="L6" s="33">
        <f>258.5+L2</f>
        <v>260.75</v>
      </c>
      <c r="M6" s="23">
        <v>0</v>
      </c>
      <c r="N6" s="40">
        <v>117.4</v>
      </c>
      <c r="P6" s="22">
        <v>999.4</v>
      </c>
      <c r="Q6" s="22">
        <v>259</v>
      </c>
      <c r="R6" s="22">
        <v>0</v>
      </c>
      <c r="S6" s="22">
        <v>117.1</v>
      </c>
      <c r="U6" s="22">
        <v>999.4</v>
      </c>
      <c r="V6" s="22">
        <v>259</v>
      </c>
      <c r="W6" s="22">
        <v>0</v>
      </c>
      <c r="X6" s="22">
        <v>117.1</v>
      </c>
    </row>
    <row r="7" spans="1:25" x14ac:dyDescent="0.25">
      <c r="A7" s="9">
        <v>2</v>
      </c>
      <c r="B7" s="42"/>
      <c r="C7" s="10" t="s">
        <v>177</v>
      </c>
      <c r="D7" s="48"/>
      <c r="F7" s="41">
        <v>183</v>
      </c>
      <c r="G7" s="23">
        <v>392</v>
      </c>
      <c r="H7" s="23">
        <v>0</v>
      </c>
      <c r="I7" s="40">
        <v>116.5</v>
      </c>
      <c r="K7" s="41">
        <v>183</v>
      </c>
      <c r="L7" s="23">
        <v>392</v>
      </c>
      <c r="M7" s="23">
        <v>0</v>
      </c>
      <c r="N7" s="40">
        <v>116.5</v>
      </c>
      <c r="P7" s="22">
        <v>183</v>
      </c>
      <c r="Q7" s="22">
        <v>392</v>
      </c>
      <c r="R7" s="22">
        <v>0</v>
      </c>
      <c r="S7" s="22">
        <v>116.5</v>
      </c>
      <c r="U7" s="22">
        <v>183</v>
      </c>
      <c r="V7" s="22">
        <v>392</v>
      </c>
      <c r="W7" s="22">
        <v>0</v>
      </c>
      <c r="X7" s="22">
        <v>116.5</v>
      </c>
    </row>
    <row r="8" spans="1:25" x14ac:dyDescent="0.25">
      <c r="A8" s="9">
        <v>2</v>
      </c>
      <c r="B8" s="42"/>
      <c r="C8" s="10" t="s">
        <v>178</v>
      </c>
      <c r="D8" s="48"/>
      <c r="F8" s="42">
        <v>649.6</v>
      </c>
      <c r="G8" s="23">
        <v>261.3</v>
      </c>
      <c r="H8" s="23">
        <v>0</v>
      </c>
      <c r="I8" s="40">
        <v>106</v>
      </c>
      <c r="K8" s="42">
        <v>649.6</v>
      </c>
      <c r="L8" s="23">
        <v>261.3</v>
      </c>
      <c r="M8" s="23">
        <v>0</v>
      </c>
      <c r="N8" s="40">
        <v>106</v>
      </c>
      <c r="P8" s="22">
        <v>649.6</v>
      </c>
      <c r="Q8" s="22">
        <v>261.3</v>
      </c>
      <c r="R8" s="22">
        <v>0</v>
      </c>
      <c r="S8" s="22">
        <v>106</v>
      </c>
      <c r="U8" s="22">
        <v>649.6</v>
      </c>
      <c r="V8" s="22">
        <v>261.3</v>
      </c>
      <c r="W8" s="22">
        <v>0</v>
      </c>
      <c r="X8" s="22">
        <v>106</v>
      </c>
    </row>
    <row r="9" spans="1:25" x14ac:dyDescent="0.25">
      <c r="A9" s="9">
        <v>2</v>
      </c>
      <c r="B9" s="42"/>
      <c r="C9" s="10" t="s">
        <v>179</v>
      </c>
      <c r="D9" s="48"/>
      <c r="F9" s="39" cm="1">
        <f t="array" ref="F9">SUM(($A10:$A12=3)*F10:F12)</f>
        <v>639.29999999999995</v>
      </c>
      <c r="G9" s="23" cm="1">
        <f t="array" ref="G9">SUMPRODUCT(($A10:$A12=3)*F10:F12, G10:G12)/F9</f>
        <v>246.55340215861099</v>
      </c>
      <c r="H9" s="23" cm="1">
        <f t="array" ref="H9">SUMPRODUCT(($A10:$A12=3)*F10:F12, H10:H12)/F9</f>
        <v>0</v>
      </c>
      <c r="I9" s="40" cm="1">
        <f t="array" ref="I9">SUMPRODUCT(($A10:$A12=3)*F10:F12, I10:I12)/F9</f>
        <v>69.274127952447998</v>
      </c>
      <c r="K9" s="39" cm="1">
        <f t="array" ref="K9">SUM(($A10:$A12=3)*K10:K12)</f>
        <v>639.29999999999995</v>
      </c>
      <c r="L9" s="23" cm="1">
        <f t="array" ref="L9">SUMPRODUCT(($A10:$A12=3)*K10:K12, L10:L12)/K9</f>
        <v>248.3236977944627</v>
      </c>
      <c r="M9" s="23" cm="1">
        <f t="array" ref="M9">SUMPRODUCT(($A10:$A12=3)*K10:K12, M10:M12)/K9</f>
        <v>0</v>
      </c>
      <c r="N9" s="40" cm="1">
        <f t="array" ref="N9">SUMPRODUCT(($A10:$A12=3)*K10:K12, N10:N12)/K9</f>
        <v>69.274127952447998</v>
      </c>
      <c r="P9" s="22">
        <v>577.29999999999995</v>
      </c>
      <c r="Q9" s="22">
        <v>246.9</v>
      </c>
      <c r="R9" s="22">
        <v>0</v>
      </c>
      <c r="S9" s="22">
        <v>68.599999999999994</v>
      </c>
      <c r="U9" s="22">
        <v>577.29999999999995</v>
      </c>
      <c r="V9" s="22">
        <v>246.9</v>
      </c>
      <c r="W9" s="22">
        <v>0</v>
      </c>
      <c r="X9" s="22">
        <v>68.599999999999994</v>
      </c>
    </row>
    <row r="10" spans="1:25" x14ac:dyDescent="0.25">
      <c r="A10" s="9">
        <v>3</v>
      </c>
      <c r="B10" s="42"/>
      <c r="C10" s="10"/>
      <c r="D10" s="48" t="s">
        <v>180</v>
      </c>
      <c r="F10" s="42">
        <v>136.30000000000001</v>
      </c>
      <c r="G10" s="23">
        <v>166.3</v>
      </c>
      <c r="H10" s="23">
        <v>0</v>
      </c>
      <c r="I10" s="40">
        <v>72.5</v>
      </c>
      <c r="K10" s="42">
        <v>136.30000000000001</v>
      </c>
      <c r="L10" s="23">
        <v>166.3</v>
      </c>
      <c r="M10" s="23">
        <v>0</v>
      </c>
      <c r="N10" s="40">
        <v>72.5</v>
      </c>
      <c r="P10" s="22">
        <v>124.3</v>
      </c>
      <c r="Q10" s="22">
        <v>166.6</v>
      </c>
      <c r="R10" s="22">
        <v>0</v>
      </c>
      <c r="S10" s="22">
        <v>72</v>
      </c>
      <c r="U10" s="22">
        <v>124.3</v>
      </c>
      <c r="V10" s="22">
        <v>166.6</v>
      </c>
      <c r="W10" s="22">
        <v>0</v>
      </c>
      <c r="X10" s="22">
        <v>72</v>
      </c>
    </row>
    <row r="11" spans="1:25" x14ac:dyDescent="0.25">
      <c r="A11" s="9">
        <v>3</v>
      </c>
      <c r="B11" s="42"/>
      <c r="C11" s="10"/>
      <c r="D11" s="48" t="s">
        <v>182</v>
      </c>
      <c r="F11" s="42">
        <v>251.5</v>
      </c>
      <c r="G11" s="33">
        <v>268.3</v>
      </c>
      <c r="H11" s="23">
        <v>-39.200000000000003</v>
      </c>
      <c r="I11" s="40">
        <v>68.400000000000006</v>
      </c>
      <c r="K11" s="42">
        <v>251.5</v>
      </c>
      <c r="L11" s="33">
        <f>268.3+L2</f>
        <v>270.55</v>
      </c>
      <c r="M11" s="23">
        <v>-39.200000000000003</v>
      </c>
      <c r="N11" s="40">
        <v>68.400000000000006</v>
      </c>
      <c r="P11" s="22">
        <v>226.5</v>
      </c>
      <c r="Q11" s="22">
        <v>268.89999999999998</v>
      </c>
      <c r="R11" s="22">
        <v>-39.700000000000003</v>
      </c>
      <c r="S11" s="22">
        <v>67.7</v>
      </c>
      <c r="U11" s="22">
        <v>226.5</v>
      </c>
      <c r="V11" s="22">
        <v>268.89999999999998</v>
      </c>
      <c r="W11" s="22">
        <v>-39.700000000000003</v>
      </c>
      <c r="X11" s="22">
        <v>67.7</v>
      </c>
    </row>
    <row r="12" spans="1:25" x14ac:dyDescent="0.25">
      <c r="A12" s="9">
        <v>3</v>
      </c>
      <c r="B12" s="42"/>
      <c r="C12" s="10"/>
      <c r="D12" s="48" t="s">
        <v>181</v>
      </c>
      <c r="F12" s="42">
        <v>251.5</v>
      </c>
      <c r="G12" s="33">
        <v>268.3</v>
      </c>
      <c r="H12" s="23">
        <v>39.200000000000003</v>
      </c>
      <c r="I12" s="40">
        <v>68.400000000000006</v>
      </c>
      <c r="K12" s="42">
        <v>251.5</v>
      </c>
      <c r="L12" s="33">
        <f>268.3+L2</f>
        <v>270.55</v>
      </c>
      <c r="M12" s="23">
        <v>39.200000000000003</v>
      </c>
      <c r="N12" s="40">
        <v>68.400000000000006</v>
      </c>
      <c r="P12" s="22">
        <v>226.5</v>
      </c>
      <c r="Q12" s="22">
        <v>268.89999999999998</v>
      </c>
      <c r="R12" s="22">
        <v>39.700000000000003</v>
      </c>
      <c r="S12" s="22">
        <v>67.7</v>
      </c>
      <c r="U12" s="22">
        <v>226.5</v>
      </c>
      <c r="V12" s="22">
        <v>268.89999999999998</v>
      </c>
      <c r="W12" s="22">
        <v>39.700000000000003</v>
      </c>
      <c r="X12" s="22">
        <v>67.7</v>
      </c>
    </row>
    <row r="13" spans="1:25" x14ac:dyDescent="0.25">
      <c r="A13" s="9">
        <v>1</v>
      </c>
      <c r="B13" s="60" t="s">
        <v>183</v>
      </c>
      <c r="C13" s="28"/>
      <c r="D13" s="61"/>
      <c r="F13" s="37" cm="1">
        <f t="array" ref="F13">SUM(($A14:$A15=2)*F14:F15)</f>
        <v>624.1</v>
      </c>
      <c r="G13" s="21" cm="1">
        <f t="array" ref="G13">SUMPRODUCT(($A14:$A15=2)*F14:F15, G14:G15)/F13</f>
        <v>377.68593174170803</v>
      </c>
      <c r="H13" s="21" cm="1">
        <f t="array" ref="H13">SUMPRODUCT(($A14:$A15=2)*F14:F15, H14:H15)/F13</f>
        <v>0.5</v>
      </c>
      <c r="I13" s="38" cm="1">
        <f t="array" ref="I13">SUMPRODUCT(($A14:$A15=2)*F14:F15, I14:I15)/F13</f>
        <v>107.41535010414999</v>
      </c>
      <c r="K13" s="37" cm="1">
        <f t="array" ref="K13">SUM(($A14:$A15=2)*K14:K15)</f>
        <v>624.1</v>
      </c>
      <c r="L13" s="21" cm="1">
        <f t="array" ref="L13">SUMPRODUCT(($A14:$A15=2)*K14:K15, L14:L15)/K13</f>
        <v>377.68593174170803</v>
      </c>
      <c r="M13" s="21" cm="1">
        <f t="array" ref="M13">SUMPRODUCT(($A14:$A15=2)*K14:K15, M14:M15)/K13</f>
        <v>0.5</v>
      </c>
      <c r="N13" s="38" cm="1">
        <f t="array" ref="N13">SUMPRODUCT(($A14:$A15=2)*K14:K15, N14:N15)/K13</f>
        <v>107.41535010414999</v>
      </c>
      <c r="P13" s="20">
        <f>SUM(P14:P15)</f>
        <v>628.1</v>
      </c>
      <c r="Q13" s="21">
        <f>SUMPRODUCT(P14:P15, Q14:Q15)/P13</f>
        <v>377.78191370800829</v>
      </c>
      <c r="R13" s="21">
        <f>SUMPRODUCT(P14:P15, R14:R15)/P13</f>
        <v>0.5</v>
      </c>
      <c r="S13" s="21">
        <f>SUMPRODUCT(P14:P15, S14:S15)/P13</f>
        <v>107.41397866581754</v>
      </c>
      <c r="U13" s="20">
        <f>SUM(U14:U15)</f>
        <v>628.1</v>
      </c>
      <c r="V13" s="21">
        <f>SUMPRODUCT(U14:U15, V14:V15)/U13</f>
        <v>377.78191370800829</v>
      </c>
      <c r="W13" s="21">
        <f>SUMPRODUCT(U14:U15, W14:W15)/U13</f>
        <v>0.5</v>
      </c>
      <c r="X13" s="21">
        <f>SUMPRODUCT(U14:U15, X14:X15)/U13</f>
        <v>107.41397866581754</v>
      </c>
    </row>
    <row r="14" spans="1:25" x14ac:dyDescent="0.25">
      <c r="A14" s="9">
        <v>2</v>
      </c>
      <c r="B14" s="42"/>
      <c r="C14" s="10" t="s">
        <v>184</v>
      </c>
      <c r="D14" s="48"/>
      <c r="F14" s="42">
        <v>489.7</v>
      </c>
      <c r="G14" s="23">
        <v>405.1</v>
      </c>
      <c r="H14" s="23">
        <v>0.5</v>
      </c>
      <c r="I14" s="40">
        <v>107.2</v>
      </c>
      <c r="K14" s="42">
        <v>489.7</v>
      </c>
      <c r="L14" s="23">
        <v>405.1</v>
      </c>
      <c r="M14" s="23">
        <v>0.5</v>
      </c>
      <c r="N14" s="40">
        <v>107.2</v>
      </c>
      <c r="P14" s="22">
        <v>493.7</v>
      </c>
      <c r="Q14" s="22">
        <v>405</v>
      </c>
      <c r="R14" s="22">
        <v>0.5</v>
      </c>
      <c r="S14" s="22">
        <v>107.2</v>
      </c>
      <c r="U14" s="22">
        <v>493.7</v>
      </c>
      <c r="V14" s="22">
        <v>405</v>
      </c>
      <c r="W14" s="22">
        <v>0.5</v>
      </c>
      <c r="X14" s="22">
        <v>107.2</v>
      </c>
    </row>
    <row r="15" spans="1:25" x14ac:dyDescent="0.25">
      <c r="A15" s="9">
        <v>2</v>
      </c>
      <c r="B15" s="42"/>
      <c r="C15" s="10" t="s">
        <v>185</v>
      </c>
      <c r="D15" s="48"/>
      <c r="F15" s="42">
        <v>134.4</v>
      </c>
      <c r="G15" s="23">
        <v>277.8</v>
      </c>
      <c r="H15" s="23">
        <v>0.5</v>
      </c>
      <c r="I15" s="40">
        <v>108.2</v>
      </c>
      <c r="K15" s="42">
        <v>134.4</v>
      </c>
      <c r="L15" s="23">
        <v>277.8</v>
      </c>
      <c r="M15" s="23">
        <v>0.5</v>
      </c>
      <c r="N15" s="40">
        <v>108.2</v>
      </c>
      <c r="P15" s="22">
        <v>134.4</v>
      </c>
      <c r="Q15" s="22">
        <v>277.8</v>
      </c>
      <c r="R15" s="22">
        <v>0.5</v>
      </c>
      <c r="S15" s="22">
        <v>108.2</v>
      </c>
      <c r="U15" s="22">
        <v>134.4</v>
      </c>
      <c r="V15" s="22">
        <v>277.8</v>
      </c>
      <c r="W15" s="22">
        <v>0.5</v>
      </c>
      <c r="X15" s="22">
        <v>108.2</v>
      </c>
    </row>
    <row r="16" spans="1:25" x14ac:dyDescent="0.25">
      <c r="A16" s="9">
        <v>1</v>
      </c>
      <c r="B16" s="60" t="s">
        <v>186</v>
      </c>
      <c r="C16" s="28"/>
      <c r="D16" s="61"/>
      <c r="F16" s="37" cm="1">
        <f t="array" ref="F16">SUM(($A17:$A23=2)*F17:F23)</f>
        <v>905.6</v>
      </c>
      <c r="G16" s="21" cm="1">
        <f t="array" ref="G16">SUMPRODUCT(($A17:$A23=2)*F17:F23, G17:G23)/F16</f>
        <v>226.20025397526501</v>
      </c>
      <c r="H16" s="21" cm="1">
        <f t="array" ref="H16">SUMPRODUCT(($A17:$A23=2)*F17:F23, H17:H23)/F16</f>
        <v>1.3361196996466431</v>
      </c>
      <c r="I16" s="38" cm="1">
        <f t="array" ref="I16">SUMPRODUCT(($A17:$A23=2)*F17:F23, I17:I23)/F16</f>
        <v>103.50228577738517</v>
      </c>
      <c r="K16" s="37" cm="1">
        <f t="array" ref="K16">SUM(($A17:$A23=2)*K17:K23)</f>
        <v>905.6</v>
      </c>
      <c r="L16" s="21" cm="1">
        <f t="array" ref="L16">SUMPRODUCT(($A17:$A23=2)*K17:K23, L17:L23)/K16</f>
        <v>226.20025397526501</v>
      </c>
      <c r="M16" s="21" cm="1">
        <f t="array" ref="M16">SUMPRODUCT(($A17:$A23=2)*K17:K23, M17:M23)/K16</f>
        <v>1.3361196996466431</v>
      </c>
      <c r="N16" s="38" cm="1">
        <f t="array" ref="N16">SUMPRODUCT(($A17:$A23=2)*K17:K23, N17:N23)/K16</f>
        <v>103.50228577738517</v>
      </c>
      <c r="P16" s="20">
        <f>SUM(P17:P18)</f>
        <v>844.59999999999991</v>
      </c>
      <c r="Q16" s="21">
        <f>SUMPRODUCT(P17:P18, Q17:Q18)/P16</f>
        <v>226.20117215249826</v>
      </c>
      <c r="R16" s="21">
        <f>SUMPRODUCT(P17:P18, R17:R18)/P16</f>
        <v>1.2559554818849161</v>
      </c>
      <c r="S16" s="21">
        <f>SUMPRODUCT(P17:P18, S17:S18)/P16</f>
        <v>103.76623253611179</v>
      </c>
      <c r="U16" s="20">
        <f>SUM(U17:U18)</f>
        <v>844.59999999999991</v>
      </c>
      <c r="V16" s="21">
        <f>SUMPRODUCT(U17:U18, V17:V18)/U16</f>
        <v>226.20117215249826</v>
      </c>
      <c r="W16" s="21">
        <f>SUMPRODUCT(U17:U18, W17:W18)/U16</f>
        <v>1.2559554818849161</v>
      </c>
      <c r="X16" s="21">
        <f>SUMPRODUCT(U17:U18, X17:X18)/U16</f>
        <v>103.76623253611179</v>
      </c>
    </row>
    <row r="17" spans="1:24" x14ac:dyDescent="0.25">
      <c r="A17" s="9">
        <v>2</v>
      </c>
      <c r="B17" s="42"/>
      <c r="C17" s="10" t="s">
        <v>187</v>
      </c>
      <c r="D17" s="48"/>
      <c r="F17" s="42">
        <v>388.5</v>
      </c>
      <c r="G17" s="23">
        <v>256</v>
      </c>
      <c r="H17" s="23">
        <v>1.3</v>
      </c>
      <c r="I17" s="40">
        <v>101.9</v>
      </c>
      <c r="K17" s="42">
        <v>388.5</v>
      </c>
      <c r="L17" s="23">
        <v>256</v>
      </c>
      <c r="M17" s="23">
        <v>1.3</v>
      </c>
      <c r="N17" s="40">
        <v>101.9</v>
      </c>
      <c r="P17" s="22">
        <v>308.5</v>
      </c>
      <c r="Q17" s="22">
        <v>256</v>
      </c>
      <c r="R17" s="22">
        <v>1.3</v>
      </c>
      <c r="S17" s="22">
        <v>101.9</v>
      </c>
      <c r="U17" s="22">
        <v>308.5</v>
      </c>
      <c r="V17" s="22">
        <v>256</v>
      </c>
      <c r="W17" s="22">
        <v>1.3</v>
      </c>
      <c r="X17" s="22">
        <v>101.9</v>
      </c>
    </row>
    <row r="18" spans="1:24" x14ac:dyDescent="0.25">
      <c r="A18" s="9">
        <v>2</v>
      </c>
      <c r="B18" s="42"/>
      <c r="C18" s="10" t="s">
        <v>188</v>
      </c>
      <c r="D18" s="48"/>
      <c r="F18" s="39" cm="1">
        <f t="array" ref="F18">SUM(($A19:$A23=3)*F19:F23)</f>
        <v>517.1</v>
      </c>
      <c r="G18" s="23" cm="1">
        <f t="array" ref="G18">SUMPRODUCT(($A19:$A23=3)*F19:F23, G19:G23)/F18</f>
        <v>203.81154515567587</v>
      </c>
      <c r="H18" s="23" cm="1">
        <f t="array" ref="H18">SUMPRODUCT(($A19:$A23=3)*F19:F23, H19:H23)/F18</f>
        <v>1.3632566234770835</v>
      </c>
      <c r="I18" s="40" cm="1">
        <f t="array" ref="I18">SUMPRODUCT(($A19:$A23=3)*F19:F23, I19:I23)/F18</f>
        <v>104.70609166505511</v>
      </c>
      <c r="K18" s="39" cm="1">
        <f t="array" ref="K18">SUM(($A19:$A23=3)*K19:K23)</f>
        <v>517.1</v>
      </c>
      <c r="L18" s="23" cm="1">
        <f t="array" ref="L18">SUMPRODUCT(($A19:$A23=3)*K19:K23, L19:L23)/K18</f>
        <v>203.81154515567587</v>
      </c>
      <c r="M18" s="23" cm="1">
        <f t="array" ref="M18">SUMPRODUCT(($A19:$A23=3)*K19:K23, M19:M23)/K18</f>
        <v>1.3632566234770835</v>
      </c>
      <c r="N18" s="40" cm="1">
        <f t="array" ref="N18">SUMPRODUCT(($A19:$A23=3)*K19:K23, N19:N23)/K18</f>
        <v>104.70609166505511</v>
      </c>
      <c r="P18" s="20">
        <f>SUM(P19:P23)</f>
        <v>536.09999999999991</v>
      </c>
      <c r="Q18" s="21">
        <f>SUMPRODUCT(P19:P23, Q19:Q23)/P18</f>
        <v>209.05336690915877</v>
      </c>
      <c r="R18" s="21">
        <f>SUMPRODUCT(P19:P23, R19:R23)/P18</f>
        <v>1.230609960828204</v>
      </c>
      <c r="S18" s="21">
        <f>SUMPRODUCT(P19:P23, S19:S23)/P18</f>
        <v>104.84016041783252</v>
      </c>
      <c r="U18" s="20">
        <f>SUM(U19:U23)</f>
        <v>536.09999999999991</v>
      </c>
      <c r="V18" s="21">
        <f>SUMPRODUCT(U19:U23, V19:V23)/U18</f>
        <v>209.05336690915877</v>
      </c>
      <c r="W18" s="21">
        <f>SUMPRODUCT(U19:U23, W19:W23)/U18</f>
        <v>1.230609960828204</v>
      </c>
      <c r="X18" s="21">
        <f>SUMPRODUCT(U19:U23, X19:X23)/U18</f>
        <v>104.84016041783252</v>
      </c>
    </row>
    <row r="19" spans="1:24" x14ac:dyDescent="0.25">
      <c r="A19" s="9">
        <v>3</v>
      </c>
      <c r="B19" s="42"/>
      <c r="C19" s="10"/>
      <c r="D19" s="48" t="s">
        <v>189</v>
      </c>
      <c r="F19" s="42">
        <v>10.5</v>
      </c>
      <c r="G19" s="23">
        <v>154.6</v>
      </c>
      <c r="H19" s="23">
        <v>-16.600000000000001</v>
      </c>
      <c r="I19" s="40">
        <v>101.4</v>
      </c>
      <c r="K19" s="42">
        <v>10.5</v>
      </c>
      <c r="L19" s="23">
        <v>154.6</v>
      </c>
      <c r="M19" s="23">
        <v>-16.600000000000001</v>
      </c>
      <c r="N19" s="40">
        <v>101.4</v>
      </c>
      <c r="P19" s="22">
        <v>10.5</v>
      </c>
      <c r="Q19" s="22">
        <v>154.6</v>
      </c>
      <c r="R19" s="22">
        <v>-16.600000000000001</v>
      </c>
      <c r="S19" s="22">
        <v>101.4</v>
      </c>
      <c r="U19" s="22">
        <v>10.5</v>
      </c>
      <c r="V19" s="22">
        <v>154.6</v>
      </c>
      <c r="W19" s="22">
        <v>-16.600000000000001</v>
      </c>
      <c r="X19" s="22">
        <v>101.4</v>
      </c>
    </row>
    <row r="20" spans="1:24" x14ac:dyDescent="0.25">
      <c r="A20" s="9">
        <v>3</v>
      </c>
      <c r="B20" s="42"/>
      <c r="C20" s="10"/>
      <c r="D20" s="48" t="s">
        <v>190</v>
      </c>
      <c r="F20" s="42">
        <v>25.2</v>
      </c>
      <c r="G20" s="23">
        <v>139</v>
      </c>
      <c r="H20" s="23">
        <v>1.3</v>
      </c>
      <c r="I20" s="40">
        <v>89.5</v>
      </c>
      <c r="K20" s="42">
        <v>25.2</v>
      </c>
      <c r="L20" s="23">
        <v>139</v>
      </c>
      <c r="M20" s="23">
        <v>1.3</v>
      </c>
      <c r="N20" s="40">
        <v>89.5</v>
      </c>
      <c r="P20" s="22">
        <v>25.2</v>
      </c>
      <c r="Q20" s="22">
        <v>139</v>
      </c>
      <c r="R20" s="22">
        <v>1.3</v>
      </c>
      <c r="S20" s="22">
        <v>89.5</v>
      </c>
      <c r="U20" s="22">
        <v>25.2</v>
      </c>
      <c r="V20" s="22">
        <v>139</v>
      </c>
      <c r="W20" s="22">
        <v>1.3</v>
      </c>
      <c r="X20" s="22">
        <v>89.5</v>
      </c>
    </row>
    <row r="21" spans="1:24" x14ac:dyDescent="0.25">
      <c r="A21" s="9">
        <v>3</v>
      </c>
      <c r="B21" s="42"/>
      <c r="C21" s="10"/>
      <c r="D21" s="48" t="s">
        <v>191</v>
      </c>
      <c r="F21" s="42">
        <v>346.1</v>
      </c>
      <c r="G21" s="23">
        <v>167.3</v>
      </c>
      <c r="H21" s="23">
        <v>2.4</v>
      </c>
      <c r="I21" s="40">
        <v>103.1</v>
      </c>
      <c r="K21" s="42">
        <v>346.1</v>
      </c>
      <c r="L21" s="23">
        <v>167.3</v>
      </c>
      <c r="M21" s="23">
        <v>2.4</v>
      </c>
      <c r="N21" s="40">
        <v>103.1</v>
      </c>
      <c r="P21" s="22">
        <v>353.5</v>
      </c>
      <c r="Q21" s="22">
        <v>170.6</v>
      </c>
      <c r="R21" s="22">
        <v>2.2999999999999998</v>
      </c>
      <c r="S21" s="22">
        <v>103.7</v>
      </c>
      <c r="U21" s="22">
        <v>353.5</v>
      </c>
      <c r="V21" s="22">
        <v>170.6</v>
      </c>
      <c r="W21" s="22">
        <v>2.2999999999999998</v>
      </c>
      <c r="X21" s="22">
        <v>103.7</v>
      </c>
    </row>
    <row r="22" spans="1:24" x14ac:dyDescent="0.25">
      <c r="A22" s="9">
        <v>3</v>
      </c>
      <c r="B22" s="42"/>
      <c r="C22" s="10"/>
      <c r="D22" s="48" t="s">
        <v>192</v>
      </c>
      <c r="F22" s="42">
        <v>126.5</v>
      </c>
      <c r="G22" s="23">
        <v>317.60000000000002</v>
      </c>
      <c r="H22" s="23">
        <v>0</v>
      </c>
      <c r="I22" s="40">
        <v>111.5</v>
      </c>
      <c r="K22" s="42">
        <v>126.5</v>
      </c>
      <c r="L22" s="23">
        <v>317.60000000000002</v>
      </c>
      <c r="M22" s="23">
        <v>0</v>
      </c>
      <c r="N22" s="40">
        <v>111.5</v>
      </c>
      <c r="P22" s="22">
        <v>138.1</v>
      </c>
      <c r="Q22" s="22">
        <v>321.89999999999998</v>
      </c>
      <c r="R22" s="22">
        <v>-0.2</v>
      </c>
      <c r="S22" s="22">
        <v>110</v>
      </c>
      <c r="U22" s="22">
        <v>138.1</v>
      </c>
      <c r="V22" s="22">
        <v>321.89999999999998</v>
      </c>
      <c r="W22" s="22">
        <v>-0.2</v>
      </c>
      <c r="X22" s="22">
        <v>110</v>
      </c>
    </row>
    <row r="23" spans="1:24" x14ac:dyDescent="0.25">
      <c r="A23" s="9">
        <v>3</v>
      </c>
      <c r="B23" s="42"/>
      <c r="C23" s="10"/>
      <c r="D23" s="48" t="s">
        <v>193</v>
      </c>
      <c r="F23" s="43">
        <v>8.8000000000000007</v>
      </c>
      <c r="G23" s="27">
        <v>248.4</v>
      </c>
      <c r="H23" s="27">
        <v>1.8</v>
      </c>
      <c r="I23" s="44">
        <v>117.7</v>
      </c>
      <c r="K23" s="43">
        <v>8.8000000000000007</v>
      </c>
      <c r="L23" s="27">
        <v>248.4</v>
      </c>
      <c r="M23" s="27">
        <v>1.8</v>
      </c>
      <c r="N23" s="44">
        <v>117.7</v>
      </c>
      <c r="P23" s="22">
        <v>8.8000000000000007</v>
      </c>
      <c r="Q23" s="22">
        <v>248.4</v>
      </c>
      <c r="R23" s="22">
        <v>1.8</v>
      </c>
      <c r="S23" s="22">
        <v>117.7</v>
      </c>
      <c r="U23" s="22">
        <v>8.8000000000000007</v>
      </c>
      <c r="V23" s="22">
        <v>248.4</v>
      </c>
      <c r="W23" s="22">
        <v>1.8</v>
      </c>
      <c r="X23" s="22">
        <v>117.7</v>
      </c>
    </row>
    <row r="24" spans="1:24" x14ac:dyDescent="0.25">
      <c r="A24" s="9">
        <v>0</v>
      </c>
      <c r="B24" s="62" t="s">
        <v>194</v>
      </c>
      <c r="C24" s="29"/>
      <c r="D24" s="63"/>
      <c r="F24" s="45" cm="1">
        <f t="array" ref="F24">SUM(($A5:$A23=1)*F5:F23)</f>
        <v>4077.8999999999996</v>
      </c>
      <c r="G24" s="34" cm="1">
        <f t="array" ref="G24">SUMPRODUCT(($A5:$A23=1)*F5:F23, G5:G23)/F24</f>
        <v>274.13187179675811</v>
      </c>
      <c r="H24" s="34" cm="1">
        <f t="array" ref="H24">SUMPRODUCT(($A5:$A23=1)*F5:F23, H5:H23)/F24</f>
        <v>0.37324112901248196</v>
      </c>
      <c r="I24" s="46" cm="1">
        <f t="array" ref="I24">SUMPRODUCT(($A5:$A23=1)*F5:F23, I5:I23)/F24</f>
        <v>103.3844037372177</v>
      </c>
      <c r="K24" s="45" cm="1">
        <f t="array" ref="K24">SUM(($A5:$A23=1)*K5:K23)</f>
        <v>4077.8999999999996</v>
      </c>
      <c r="L24" s="34" cm="1">
        <f t="array" ref="L24">SUMPRODUCT(($A5:$A23=1)*K5:K23, L5:L23)/K24</f>
        <v>275.00325780426198</v>
      </c>
      <c r="M24" s="34" cm="1">
        <f t="array" ref="M24">SUMPRODUCT(($A5:$A23=1)*K5:K23, M5:M23)/K24</f>
        <v>0.37324112901248196</v>
      </c>
      <c r="N24" s="46" cm="1">
        <f t="array" ref="N24">SUMPRODUCT(($A5:$A23=1)*K5:K23, N5:N23)/K24</f>
        <v>103.3844037372177</v>
      </c>
      <c r="P24" s="22">
        <v>3882</v>
      </c>
      <c r="Q24" s="22">
        <v>275.89999999999998</v>
      </c>
      <c r="R24" s="22">
        <v>0.4</v>
      </c>
      <c r="S24" s="22">
        <v>103.5</v>
      </c>
      <c r="U24" s="22">
        <v>3882</v>
      </c>
      <c r="V24" s="22">
        <v>275.89999999999998</v>
      </c>
      <c r="W24" s="22">
        <v>0.4</v>
      </c>
      <c r="X24" s="22">
        <v>103.5</v>
      </c>
    </row>
    <row r="25" spans="1:24" x14ac:dyDescent="0.25">
      <c r="A25" s="9">
        <v>1</v>
      </c>
      <c r="B25" s="60" t="s">
        <v>195</v>
      </c>
      <c r="C25" s="28"/>
      <c r="D25" s="61"/>
      <c r="F25" s="37" cm="1">
        <f t="array" ref="F25">SUM(($A26:$A27=2)*F26)</f>
        <v>24.5</v>
      </c>
      <c r="G25" s="21">
        <f>SUMPRODUCT(($A26=2)*F26, G26)/F25</f>
        <v>386.5</v>
      </c>
      <c r="H25" s="21">
        <f>SUMPRODUCT(($A26=2)*F26, H26)/F25</f>
        <v>-2.8</v>
      </c>
      <c r="I25" s="38">
        <f>SUMPRODUCT(($A26=2)*F26, I26)/F25</f>
        <v>113</v>
      </c>
      <c r="J25" s="7"/>
      <c r="K25" s="37" cm="1">
        <f t="array" ref="K25">SUM(($A26:$A27=2)*K26)</f>
        <v>24.5</v>
      </c>
      <c r="L25" s="21">
        <f>SUMPRODUCT(($A26=2)*K26, L26)/K25</f>
        <v>386.5</v>
      </c>
      <c r="M25" s="21">
        <f>SUMPRODUCT(($A26=2)*K26, M26)/K25</f>
        <v>-2.8</v>
      </c>
      <c r="N25" s="38">
        <f>SUMPRODUCT(($A26=2)*K26, N26)/K25</f>
        <v>113</v>
      </c>
      <c r="O25" s="7"/>
    </row>
    <row r="26" spans="1:24" x14ac:dyDescent="0.25">
      <c r="A26" s="9">
        <v>2</v>
      </c>
      <c r="B26" s="42"/>
      <c r="C26" s="10" t="s">
        <v>196</v>
      </c>
      <c r="D26" s="48"/>
      <c r="F26" s="42">
        <v>24.5</v>
      </c>
      <c r="G26" s="10">
        <v>386.5</v>
      </c>
      <c r="H26" s="10">
        <v>-2.8</v>
      </c>
      <c r="I26" s="40">
        <v>113</v>
      </c>
      <c r="K26" s="42">
        <v>24.5</v>
      </c>
      <c r="L26" s="10">
        <v>386.5</v>
      </c>
      <c r="M26" s="10">
        <v>-2.8</v>
      </c>
      <c r="N26" s="40">
        <v>113</v>
      </c>
      <c r="P26" s="5">
        <v>24.5</v>
      </c>
      <c r="Q26" s="5">
        <v>386.5</v>
      </c>
      <c r="R26" s="5">
        <v>-2.8</v>
      </c>
      <c r="S26" s="5">
        <v>113</v>
      </c>
      <c r="U26" s="5">
        <v>24.5</v>
      </c>
      <c r="V26" s="5">
        <v>386.5</v>
      </c>
      <c r="W26" s="5">
        <v>-2.8</v>
      </c>
      <c r="X26" s="5">
        <v>113</v>
      </c>
    </row>
    <row r="27" spans="1:24" x14ac:dyDescent="0.25">
      <c r="A27" s="9">
        <v>1</v>
      </c>
      <c r="B27" s="60" t="s">
        <v>197</v>
      </c>
      <c r="C27" s="28"/>
      <c r="D27" s="61"/>
      <c r="F27" s="42">
        <v>406.1</v>
      </c>
      <c r="G27" s="10">
        <v>164.9</v>
      </c>
      <c r="H27" s="10">
        <v>-4.2</v>
      </c>
      <c r="I27" s="40">
        <v>99</v>
      </c>
      <c r="K27" s="42">
        <v>406.1</v>
      </c>
      <c r="L27" s="10">
        <v>164.9</v>
      </c>
      <c r="M27" s="10">
        <v>-4.2</v>
      </c>
      <c r="N27" s="40">
        <v>99</v>
      </c>
      <c r="P27" s="5">
        <v>385.7</v>
      </c>
      <c r="Q27" s="5">
        <v>156.9</v>
      </c>
      <c r="R27" s="5">
        <v>-1.3</v>
      </c>
      <c r="S27" s="5">
        <v>99.1</v>
      </c>
      <c r="U27" s="5">
        <v>406.1</v>
      </c>
      <c r="V27" s="5">
        <v>164.9</v>
      </c>
      <c r="W27" s="5">
        <v>-4.2</v>
      </c>
      <c r="X27" s="5">
        <v>99</v>
      </c>
    </row>
    <row r="28" spans="1:24" x14ac:dyDescent="0.25">
      <c r="A28" s="9">
        <v>1</v>
      </c>
      <c r="B28" s="60" t="s">
        <v>220</v>
      </c>
      <c r="C28" s="28"/>
      <c r="D28" s="61"/>
      <c r="F28" s="47">
        <v>140</v>
      </c>
      <c r="G28" s="23">
        <v>116</v>
      </c>
      <c r="H28" s="23">
        <v>0</v>
      </c>
      <c r="I28" s="48">
        <v>106.8</v>
      </c>
      <c r="K28" s="59">
        <v>70</v>
      </c>
      <c r="L28" s="23">
        <v>116</v>
      </c>
      <c r="M28" s="23">
        <v>0</v>
      </c>
      <c r="N28" s="48">
        <v>106.8</v>
      </c>
      <c r="P28" s="5">
        <v>160</v>
      </c>
      <c r="Q28" s="5">
        <v>116</v>
      </c>
      <c r="R28" s="5">
        <v>0</v>
      </c>
      <c r="S28" s="5">
        <v>106.8</v>
      </c>
      <c r="U28" s="5">
        <v>170</v>
      </c>
      <c r="V28" s="5">
        <v>116</v>
      </c>
      <c r="W28" s="5">
        <v>0</v>
      </c>
      <c r="X28" s="5">
        <v>106.8</v>
      </c>
    </row>
    <row r="29" spans="1:24" x14ac:dyDescent="0.25">
      <c r="A29" s="9">
        <v>0</v>
      </c>
      <c r="B29" s="105" t="s">
        <v>198</v>
      </c>
      <c r="C29" s="106"/>
      <c r="D29" s="107"/>
      <c r="F29" s="45" cm="1">
        <f t="array" ref="F29">SUM(($A5:$A28=1)*F5:F28)</f>
        <v>4648.5</v>
      </c>
      <c r="G29" s="25" cm="1">
        <f t="array" ref="G29">SUMPRODUCT(($A5:$A28=1)*F5:F28, G5:G28)/F29</f>
        <v>260.41895235022048</v>
      </c>
      <c r="H29" s="25" cm="1">
        <f t="array" ref="H29">SUMPRODUCT(($A5:$A28=1)*F5:F28, H5:H28)/F29</f>
        <v>-5.4249757986447253E-2</v>
      </c>
      <c r="I29" s="49" cm="1">
        <f t="array" ref="I29">SUMPRODUCT(($A5:$A28=1)*F5:F28, I5:I28)/F29</f>
        <v>103.15492309347101</v>
      </c>
      <c r="J29" s="7"/>
      <c r="K29" s="45" cm="1">
        <f t="array" ref="K29">SUM(($A5:$A28=1)*K5:K28)</f>
        <v>4578.5</v>
      </c>
      <c r="L29" s="25" cm="1">
        <f t="array" ref="L29">SUMPRODUCT(($A5:$A28=1)*K5:K28, L5:L28)/K29</f>
        <v>263.40306323031558</v>
      </c>
      <c r="M29" s="25" cm="1">
        <f t="array" ref="M29">SUMPRODUCT(($A5:$A28=1)*K5:K28, M5:M28)/K29</f>
        <v>-5.5079174402096767E-2</v>
      </c>
      <c r="N29" s="49" cm="1">
        <f t="array" ref="N29">SUMPRODUCT(($A5:$A28=1)*K5:K28, N5:N28)/K29</f>
        <v>103.0991940591897</v>
      </c>
      <c r="O29" s="7"/>
    </row>
    <row r="30" spans="1:24" x14ac:dyDescent="0.25">
      <c r="B30" s="108"/>
      <c r="C30" s="109"/>
      <c r="D30" s="110"/>
      <c r="F30" s="50"/>
      <c r="G30" s="36">
        <f>(G29-237)/60*100</f>
        <v>39.031587250367465</v>
      </c>
      <c r="H30" s="25"/>
      <c r="I30" s="51"/>
      <c r="J30" s="7"/>
      <c r="K30" s="50"/>
      <c r="L30" s="36">
        <f>(L29-(237+L2))/60*100</f>
        <v>40.255105383859302</v>
      </c>
      <c r="M30" s="25"/>
      <c r="N30" s="51"/>
      <c r="O30" s="7"/>
    </row>
    <row r="31" spans="1:24" x14ac:dyDescent="0.25">
      <c r="A31" s="9">
        <v>1</v>
      </c>
      <c r="B31" s="42" t="s">
        <v>199</v>
      </c>
      <c r="C31" s="10"/>
      <c r="D31" s="48"/>
      <c r="F31" s="39">
        <v>14</v>
      </c>
      <c r="G31" s="22">
        <v>369.5</v>
      </c>
      <c r="H31" s="22">
        <v>-0.1</v>
      </c>
      <c r="I31" s="52">
        <v>111.3</v>
      </c>
      <c r="J31" s="7"/>
      <c r="K31" s="39">
        <v>14</v>
      </c>
      <c r="L31" s="22">
        <v>369.5</v>
      </c>
      <c r="M31" s="22">
        <v>-0.1</v>
      </c>
      <c r="N31" s="52">
        <v>111.3</v>
      </c>
      <c r="O31" s="7"/>
    </row>
    <row r="32" spans="1:24" x14ac:dyDescent="0.25">
      <c r="A32" s="9">
        <v>0</v>
      </c>
      <c r="B32" s="105" t="s">
        <v>200</v>
      </c>
      <c r="C32" s="106"/>
      <c r="D32" s="107"/>
      <c r="F32" s="45" cm="1">
        <f t="array" ref="F32">SUM(($A5:$A31=1)*F5:F31)</f>
        <v>4662.5</v>
      </c>
      <c r="G32" s="25" cm="1">
        <f t="array" ref="G32">SUMPRODUCT(($A5:$A31=1)*F5:F31, G5:G31)/F32</f>
        <v>260.74648793565677</v>
      </c>
      <c r="H32" s="25" cm="1">
        <f t="array" ref="H32">SUMPRODUCT(($A5:$A31=1)*F5:F31, H5:H31)/F32</f>
        <v>-5.4387131367292244E-2</v>
      </c>
      <c r="I32" s="49" cm="1">
        <f t="array" ref="I32">SUMPRODUCT(($A5:$A31=1)*F5:F31, I5:I31)/F32</f>
        <v>103.17938016085792</v>
      </c>
      <c r="J32" s="7"/>
      <c r="K32" s="45" cm="1">
        <f t="array" ref="K32">SUM(($A5:$A31=1)*K5:K31)</f>
        <v>4592.5</v>
      </c>
      <c r="L32" s="25" cm="1">
        <f t="array" ref="L32">SUMPRODUCT(($A5:$A31=1)*K5:K31, L5:L31)/K32</f>
        <v>263.72649428415889</v>
      </c>
      <c r="M32" s="25" cm="1">
        <f t="array" ref="M32">SUMPRODUCT(($A5:$A31=1)*K5:K31, M5:M31)/K32</f>
        <v>-5.5216113228089288E-2</v>
      </c>
      <c r="N32" s="49" cm="1">
        <f t="array" ref="N32">SUMPRODUCT(($A5:$A31=1)*K5:K31, N5:N31)/K32</f>
        <v>103.12419379422973</v>
      </c>
      <c r="O32" s="7"/>
    </row>
    <row r="33" spans="1:15" x14ac:dyDescent="0.25">
      <c r="B33" s="108"/>
      <c r="C33" s="109"/>
      <c r="D33" s="110"/>
      <c r="F33" s="50"/>
      <c r="G33" s="36">
        <f>(G32-237)/60*100</f>
        <v>39.577479892761289</v>
      </c>
      <c r="H33" s="25"/>
      <c r="I33" s="51"/>
      <c r="J33" s="7"/>
      <c r="K33" s="50"/>
      <c r="L33" s="36">
        <f>(L32-(237+L2))/60*100</f>
        <v>40.794157140264815</v>
      </c>
      <c r="M33" s="25"/>
      <c r="N33" s="51"/>
      <c r="O33" s="7"/>
    </row>
    <row r="34" spans="1:15" x14ac:dyDescent="0.25">
      <c r="A34" s="9">
        <v>1</v>
      </c>
      <c r="B34" s="42" t="s">
        <v>201</v>
      </c>
      <c r="C34" s="10"/>
      <c r="D34" s="48"/>
      <c r="F34" s="39">
        <v>50</v>
      </c>
      <c r="G34" s="22">
        <v>261.39999999999998</v>
      </c>
      <c r="H34" s="22">
        <v>0</v>
      </c>
      <c r="I34" s="52">
        <v>99</v>
      </c>
      <c r="J34" s="7"/>
      <c r="K34" s="39">
        <v>50</v>
      </c>
      <c r="L34" s="22">
        <v>261.39999999999998</v>
      </c>
      <c r="M34" s="22">
        <v>0</v>
      </c>
      <c r="N34" s="52">
        <v>99</v>
      </c>
      <c r="O34" s="7"/>
    </row>
    <row r="35" spans="1:15" x14ac:dyDescent="0.25">
      <c r="A35" s="9">
        <v>0</v>
      </c>
      <c r="B35" s="105" t="s">
        <v>202</v>
      </c>
      <c r="C35" s="106"/>
      <c r="D35" s="107"/>
      <c r="F35" s="45" cm="1">
        <f t="array" ref="F35">SUM(($A5:$A34=1)*F5:F34)</f>
        <v>4712.5</v>
      </c>
      <c r="G35" s="25" cm="1">
        <f t="array" ref="G35">SUMPRODUCT(($A5:$A34=1)*F5:F34, G5:G34)/F35</f>
        <v>260.75342175066311</v>
      </c>
      <c r="H35" s="25" cm="1">
        <f t="array" ref="H35">SUMPRODUCT(($A5:$A34=1)*F5:F34, H5:H34)/F35</f>
        <v>-5.3810079575596831E-2</v>
      </c>
      <c r="I35" s="49" cm="1">
        <f t="array" ref="I35">SUMPRODUCT(($A5:$A34=1)*F5:F34, I5:I34)/F35</f>
        <v>103.13503660477454</v>
      </c>
      <c r="J35" s="7"/>
      <c r="K35" s="45" cm="1">
        <f t="array" ref="K35">SUM(($A5:$A34=1)*K5:K34)</f>
        <v>4642.5</v>
      </c>
      <c r="L35" s="25" cm="1">
        <f t="array" ref="L35">SUMPRODUCT(($A5:$A34=1)*K5:K34, L5:L34)/K35</f>
        <v>263.70143780290789</v>
      </c>
      <c r="M35" s="25" cm="1">
        <f t="array" ref="M35">SUMPRODUCT(($A5:$A34=1)*K5:K34, M5:M34)/K35</f>
        <v>-5.4621432417878313E-2</v>
      </c>
      <c r="N35" s="49" cm="1">
        <f t="array" ref="N35">SUMPRODUCT(($A5:$A34=1)*K5:K34, N5:N34)/K35</f>
        <v>103.07977598276791</v>
      </c>
      <c r="O35" s="7"/>
    </row>
    <row r="36" spans="1:15" x14ac:dyDescent="0.25">
      <c r="B36" s="108"/>
      <c r="C36" s="109"/>
      <c r="D36" s="110"/>
      <c r="F36" s="50"/>
      <c r="G36" s="36">
        <f>(G35-237)/60*100</f>
        <v>39.589036251105178</v>
      </c>
      <c r="H36" s="25"/>
      <c r="I36" s="51"/>
      <c r="J36" s="7"/>
      <c r="K36" s="50"/>
      <c r="L36" s="36">
        <f>(L35-(237+L2))/60*100</f>
        <v>40.752396338179814</v>
      </c>
      <c r="M36" s="25"/>
      <c r="N36" s="51"/>
      <c r="O36" s="7"/>
    </row>
    <row r="37" spans="1:15" x14ac:dyDescent="0.25">
      <c r="A37" s="9">
        <v>1</v>
      </c>
      <c r="B37" s="42" t="s">
        <v>203</v>
      </c>
      <c r="C37" s="10"/>
      <c r="D37" s="48"/>
      <c r="F37" s="72">
        <v>2287.4</v>
      </c>
      <c r="G37" s="22">
        <v>261.39999999999998</v>
      </c>
      <c r="H37" s="22">
        <v>0</v>
      </c>
      <c r="I37" s="52">
        <v>109.4</v>
      </c>
      <c r="J37" s="7"/>
      <c r="K37" s="72">
        <f>7000-K35</f>
        <v>2357.5</v>
      </c>
      <c r="L37" s="22">
        <v>262.3</v>
      </c>
      <c r="M37" s="22">
        <v>0</v>
      </c>
      <c r="N37" s="52">
        <v>109.4</v>
      </c>
      <c r="O37" s="7"/>
    </row>
    <row r="38" spans="1:15" x14ac:dyDescent="0.25">
      <c r="B38" s="42" t="s">
        <v>218</v>
      </c>
      <c r="C38" s="10"/>
      <c r="D38" s="48"/>
      <c r="F38" s="53" cm="1">
        <f t="array" ref="F38">SUM(($A39:$A42=2)*F39:F42)</f>
        <v>2287.4</v>
      </c>
      <c r="G38" s="26" cm="1">
        <f t="array" ref="G38">SUMPRODUCT(($A39:$A42=2)*F39:F42, G39:G42)/F38</f>
        <v>261.39536035255378</v>
      </c>
      <c r="H38" s="26" cm="1">
        <f t="array" ref="H38">SUMPRODUCT(($A39:$A42=2)*F39:F42, H39:H42)/F38</f>
        <v>0</v>
      </c>
      <c r="I38" s="54" cm="1">
        <f t="array" ref="I38">SUMPRODUCT(($A39:$A42=2)*F39:F42, I39:I42)/F38</f>
        <v>0</v>
      </c>
      <c r="J38" s="7"/>
      <c r="K38" s="53" cm="1">
        <f t="array" ref="K38">SUM(($A39:$A42=2)*K39:K42)</f>
        <v>2357.5</v>
      </c>
      <c r="L38" s="26" cm="1">
        <f t="array" ref="L38">SUMPRODUCT(($A39:$A42=2)*K39:K42, L39:L42)/K38</f>
        <v>262.28115342976946</v>
      </c>
      <c r="M38" s="26" cm="1">
        <f t="array" ref="M38">SUMPRODUCT(($A39:$A42=2)*K39:K42, M39:M42)/K38</f>
        <v>0</v>
      </c>
      <c r="N38" s="54" cm="1">
        <f t="array" ref="N38">SUMPRODUCT(($A39:$A42=2)*K39:K42, N39:N42)/K38</f>
        <v>0</v>
      </c>
      <c r="O38" s="7"/>
    </row>
    <row r="39" spans="1:15" x14ac:dyDescent="0.25">
      <c r="A39" s="9">
        <v>2</v>
      </c>
      <c r="B39" s="42"/>
      <c r="C39" s="10" t="s">
        <v>214</v>
      </c>
      <c r="D39" s="48"/>
      <c r="F39" s="39">
        <f>F37*1594/(1594+1035)*134.3/(134.3+34+68.3)</f>
        <v>787.22906491641606</v>
      </c>
      <c r="G39" s="22">
        <v>230</v>
      </c>
      <c r="H39" s="22"/>
      <c r="I39" s="52"/>
      <c r="J39" s="7"/>
      <c r="K39" s="39">
        <f>K37*1594/(1594+1035)*134.3/(134.3+34+68.3)</f>
        <v>811.3546037162065</v>
      </c>
      <c r="L39" s="22">
        <v>230</v>
      </c>
      <c r="M39" s="22"/>
      <c r="N39" s="52"/>
      <c r="O39" s="7"/>
    </row>
    <row r="40" spans="1:15" x14ac:dyDescent="0.25">
      <c r="A40" s="9">
        <v>2</v>
      </c>
      <c r="B40" s="42"/>
      <c r="C40" s="10" t="s">
        <v>217</v>
      </c>
      <c r="D40" s="48"/>
      <c r="F40" s="39">
        <f>F37*1594/(1594+1035)*34/(134.3+34+68.3)</f>
        <v>199.29849744719394</v>
      </c>
      <c r="G40" s="22">
        <v>276</v>
      </c>
      <c r="H40" s="22"/>
      <c r="I40" s="52"/>
      <c r="J40" s="7"/>
      <c r="K40" s="39">
        <f>K37*1594/(1594+1035)*34/(134.3+34+68.3)</f>
        <v>205.40622878891301</v>
      </c>
      <c r="L40" s="22">
        <v>276</v>
      </c>
      <c r="M40" s="22"/>
      <c r="N40" s="52"/>
      <c r="O40" s="7"/>
    </row>
    <row r="41" spans="1:15" x14ac:dyDescent="0.25">
      <c r="A41" s="9">
        <v>2</v>
      </c>
      <c r="B41" s="42"/>
      <c r="C41" s="10" t="s">
        <v>215</v>
      </c>
      <c r="D41" s="48"/>
      <c r="F41" s="39">
        <f>F37*1594/(1594+1035)*68.3/(134.3+34+68.3)</f>
        <v>400.35551104833365</v>
      </c>
      <c r="G41" s="22">
        <v>310</v>
      </c>
      <c r="H41" s="22"/>
      <c r="I41" s="52"/>
      <c r="J41" s="7"/>
      <c r="K41" s="39">
        <f>K37*1594/(1594+1035)*68.3/(134.3+34+68.3)</f>
        <v>412.62486547890467</v>
      </c>
      <c r="L41" s="22">
        <v>310</v>
      </c>
      <c r="M41" s="22"/>
      <c r="N41" s="52"/>
      <c r="O41" s="7"/>
    </row>
    <row r="42" spans="1:15" x14ac:dyDescent="0.25">
      <c r="A42" s="9">
        <v>2</v>
      </c>
      <c r="B42" s="42"/>
      <c r="C42" s="10" t="s">
        <v>216</v>
      </c>
      <c r="D42" s="48"/>
      <c r="F42" s="39">
        <f>F37*1035/(1594+1035)</f>
        <v>900.51692658805632</v>
      </c>
      <c r="G42" s="22">
        <f>237+60*0.45</f>
        <v>264</v>
      </c>
      <c r="H42" s="22"/>
      <c r="I42" s="52"/>
      <c r="J42" s="7"/>
      <c r="K42" s="39">
        <f>K37*1035/(1594+1035)</f>
        <v>928.11430201597568</v>
      </c>
      <c r="L42" s="22">
        <f>237+60*0.45+L2</f>
        <v>266.25</v>
      </c>
      <c r="M42" s="22"/>
      <c r="N42" s="52"/>
      <c r="O42" s="7"/>
    </row>
    <row r="43" spans="1:15" x14ac:dyDescent="0.25">
      <c r="A43" s="9">
        <v>0</v>
      </c>
      <c r="B43" s="105" t="s">
        <v>204</v>
      </c>
      <c r="C43" s="106"/>
      <c r="D43" s="107"/>
      <c r="F43" s="45" cm="1">
        <f t="array" ref="F43">SUM(($A5:$A37=1)*F5:F37)</f>
        <v>6999.9</v>
      </c>
      <c r="G43" s="25" cm="1">
        <f t="array" ref="G43">SUMPRODUCT(($A5:$A37=1)*F5:F37, G5:G37)/F43</f>
        <v>260.96470806725807</v>
      </c>
      <c r="H43" s="25" cm="1">
        <f t="array" ref="H43">SUMPRODUCT(($A5:$A37=1)*F5:F37, H5:H37)/F43</f>
        <v>-3.6226231803311484E-2</v>
      </c>
      <c r="I43" s="49" cm="1">
        <f t="array" ref="I43">SUMPRODUCT(($A5:$A37=1)*F5:F37, I5:I37)/F43</f>
        <v>105.18227688966986</v>
      </c>
      <c r="J43" s="7"/>
      <c r="K43" s="45" cm="1">
        <f t="array" ref="K43">SUM(($A5:$A37=1)*K5:K37)</f>
        <v>7000</v>
      </c>
      <c r="L43" s="25" cm="1">
        <f t="array" ref="L43">SUMPRODUCT(($A5:$A37=1)*K5:K37, L5:L37)/K43</f>
        <v>263.22945357142856</v>
      </c>
      <c r="M43" s="25" cm="1">
        <f t="array" ref="M43">SUMPRODUCT(($A5:$A37=1)*K5:K37, M5:M37)/K43</f>
        <v>-3.6225714285714299E-2</v>
      </c>
      <c r="N43" s="49" cm="1">
        <f t="array" ref="N43">SUMPRODUCT(($A5:$A37=1)*K5:K37, N5:N37)/K43</f>
        <v>105.20833714285716</v>
      </c>
      <c r="O43" s="7"/>
    </row>
    <row r="44" spans="1:15" ht="15" thickBot="1" x14ac:dyDescent="0.3">
      <c r="B44" s="111"/>
      <c r="C44" s="112"/>
      <c r="D44" s="113"/>
      <c r="F44" s="55"/>
      <c r="G44" s="56">
        <f>(G43-237)/60*100</f>
        <v>39.941180112096788</v>
      </c>
      <c r="H44" s="57"/>
      <c r="I44" s="58"/>
      <c r="K44" s="55"/>
      <c r="L44" s="56">
        <f>(L43-(237+L2))/60*100</f>
        <v>39.965755952380938</v>
      </c>
      <c r="M44" s="57"/>
      <c r="N44" s="58"/>
    </row>
    <row r="47" spans="1:15" x14ac:dyDescent="0.25">
      <c r="C47" s="5" t="s">
        <v>212</v>
      </c>
      <c r="F47" s="71" t="s">
        <v>221</v>
      </c>
      <c r="K47" s="24"/>
    </row>
    <row r="48" spans="1:15" x14ac:dyDescent="0.25">
      <c r="D48" s="5" t="s">
        <v>223</v>
      </c>
      <c r="F48" s="71"/>
      <c r="G48" s="71" t="s">
        <v>226</v>
      </c>
    </row>
    <row r="49" spans="3:7" x14ac:dyDescent="0.25">
      <c r="D49" s="5" t="s">
        <v>224</v>
      </c>
      <c r="F49" s="71"/>
      <c r="G49" s="71" t="s">
        <v>228</v>
      </c>
    </row>
    <row r="50" spans="3:7" x14ac:dyDescent="0.25">
      <c r="D50" s="5" t="s">
        <v>225</v>
      </c>
      <c r="F50" s="71"/>
      <c r="G50" s="71" t="s">
        <v>227</v>
      </c>
    </row>
    <row r="51" spans="3:7" x14ac:dyDescent="0.25">
      <c r="C51" s="5" t="s">
        <v>213</v>
      </c>
      <c r="F51" s="71" t="s">
        <v>222</v>
      </c>
    </row>
    <row r="68" spans="1:25" x14ac:dyDescent="0.25">
      <c r="B68" s="13"/>
      <c r="F68" s="5" t="s">
        <v>229</v>
      </c>
      <c r="K68" s="5" t="s">
        <v>230</v>
      </c>
    </row>
    <row r="69" spans="1:25" ht="15" thickBot="1" x14ac:dyDescent="0.3">
      <c r="K69" s="31" t="s">
        <v>219</v>
      </c>
      <c r="L69" s="30">
        <v>2.25</v>
      </c>
    </row>
    <row r="70" spans="1:25" ht="29" customHeight="1" thickBot="1" x14ac:dyDescent="0.3">
      <c r="F70" s="96" t="s">
        <v>233</v>
      </c>
      <c r="G70" s="97"/>
      <c r="H70" s="97"/>
      <c r="I70" s="98"/>
      <c r="K70" s="96" t="s">
        <v>234</v>
      </c>
      <c r="L70" s="97"/>
      <c r="M70" s="97"/>
      <c r="N70" s="98"/>
      <c r="P70" s="99" t="s">
        <v>210</v>
      </c>
      <c r="Q70" s="100"/>
      <c r="R70" s="100"/>
      <c r="S70" s="101"/>
      <c r="U70" s="102" t="s">
        <v>209</v>
      </c>
      <c r="V70" s="103"/>
      <c r="W70" s="103"/>
      <c r="X70" s="104"/>
    </row>
    <row r="71" spans="1:25" s="9" customFormat="1" ht="29.5" thickBot="1" x14ac:dyDescent="0.3">
      <c r="A71" s="9" t="s">
        <v>211</v>
      </c>
      <c r="B71" s="114" t="s">
        <v>174</v>
      </c>
      <c r="C71" s="115"/>
      <c r="D71" s="116"/>
      <c r="F71" s="67" t="s">
        <v>205</v>
      </c>
      <c r="G71" s="68" t="s">
        <v>207</v>
      </c>
      <c r="H71" s="68" t="s">
        <v>206</v>
      </c>
      <c r="I71" s="69" t="s">
        <v>208</v>
      </c>
      <c r="J71" s="19"/>
      <c r="K71" s="67" t="s">
        <v>205</v>
      </c>
      <c r="L71" s="68" t="s">
        <v>207</v>
      </c>
      <c r="M71" s="68" t="s">
        <v>206</v>
      </c>
      <c r="N71" s="69" t="s">
        <v>208</v>
      </c>
      <c r="O71" s="19"/>
      <c r="P71" s="70" t="s">
        <v>205</v>
      </c>
      <c r="Q71" s="68" t="s">
        <v>207</v>
      </c>
      <c r="R71" s="68" t="s">
        <v>206</v>
      </c>
      <c r="S71" s="68" t="s">
        <v>208</v>
      </c>
      <c r="T71" s="19"/>
      <c r="U71" s="70" t="s">
        <v>205</v>
      </c>
      <c r="V71" s="68" t="s">
        <v>207</v>
      </c>
      <c r="W71" s="68" t="s">
        <v>206</v>
      </c>
      <c r="X71" s="68" t="s">
        <v>208</v>
      </c>
      <c r="Y71" s="19"/>
    </row>
    <row r="72" spans="1:25" x14ac:dyDescent="0.25">
      <c r="A72" s="9">
        <v>1</v>
      </c>
      <c r="B72" s="64" t="s">
        <v>175</v>
      </c>
      <c r="C72" s="65"/>
      <c r="D72" s="66"/>
      <c r="F72" s="37" cm="1">
        <f t="array" ref="F72">SUM(($A73:$A79=2)*F73:F79)</f>
        <v>2548.1999999999998</v>
      </c>
      <c r="G72" s="21" cm="1">
        <f t="array" ref="G72">SUMPRODUCT(($A73:$A79=2)*F73:F79, G73:G79)/F72</f>
        <v>274.83573502864772</v>
      </c>
      <c r="H72" s="21" cm="1">
        <f t="array" ref="H72">SUMPRODUCT(($A73:$A79=2)*F73:F79, H73:H79)/F72</f>
        <v>0</v>
      </c>
      <c r="I72" s="38" cm="1">
        <f t="array" ref="I72">SUMPRODUCT(($A73:$A79=2)*F73:F79, I73:I79)/F72</f>
        <v>102.35525861392357</v>
      </c>
      <c r="K72" s="37" cm="1">
        <f t="array" ref="K72">SUM(($A73:$A79=2)*K73:K79)</f>
        <v>2548.1999999999998</v>
      </c>
      <c r="L72" s="21" cm="1">
        <f t="array" ref="L72">SUMPRODUCT(($A73:$A79=2)*K73:K79, L73:L79)/K72</f>
        <v>276.23021937053608</v>
      </c>
      <c r="M72" s="21" cm="1">
        <f t="array" ref="M72">SUMPRODUCT(($A73:$A79=2)*K73:K79, M73:M79)/K72</f>
        <v>0</v>
      </c>
      <c r="N72" s="38" cm="1">
        <f t="array" ref="N72">SUMPRODUCT(($A73:$A79=2)*K73:K79, N73:N79)/K72</f>
        <v>102.35525861392357</v>
      </c>
      <c r="P72" s="20">
        <f>SUM(P73:P76)</f>
        <v>2409.3000000000002</v>
      </c>
      <c r="Q72" s="21">
        <f>SUMPRODUCT(P73:P76, Q73:Q76)/P72</f>
        <v>266.8229153696094</v>
      </c>
      <c r="R72" s="21">
        <f>SUMPRODUCT(P73:P76, R73:R76)/P72</f>
        <v>0</v>
      </c>
      <c r="S72" s="21">
        <f>SUMPRODUCT(P73:P76, S73:S76)/P72</f>
        <v>102.44038517411695</v>
      </c>
      <c r="U72" s="20">
        <f>SUM(U73:U76)</f>
        <v>2409.3000000000002</v>
      </c>
      <c r="V72" s="21">
        <f>SUMPRODUCT(U73:U76, V73:V76)/U72</f>
        <v>266.8229153696094</v>
      </c>
      <c r="W72" s="21">
        <f>SUMPRODUCT(U73:U76, W73:W76)/U72</f>
        <v>0</v>
      </c>
      <c r="X72" s="21">
        <f>SUMPRODUCT(U73:U76, X73:X76)/U72</f>
        <v>102.44038517411695</v>
      </c>
    </row>
    <row r="73" spans="1:25" x14ac:dyDescent="0.25">
      <c r="A73" s="9">
        <v>2</v>
      </c>
      <c r="B73" s="42"/>
      <c r="C73" s="10" t="s">
        <v>176</v>
      </c>
      <c r="D73" s="48"/>
      <c r="F73" s="39">
        <v>1076.3</v>
      </c>
      <c r="G73" s="33">
        <v>258.5</v>
      </c>
      <c r="H73" s="23">
        <v>0</v>
      </c>
      <c r="I73" s="40">
        <v>117.4</v>
      </c>
      <c r="K73" s="39">
        <v>1076.3</v>
      </c>
      <c r="L73" s="32">
        <f>258.5+L69</f>
        <v>260.75</v>
      </c>
      <c r="M73" s="23">
        <v>0</v>
      </c>
      <c r="N73" s="40">
        <v>117.4</v>
      </c>
      <c r="P73" s="22">
        <v>999.4</v>
      </c>
      <c r="Q73" s="22">
        <v>259</v>
      </c>
      <c r="R73" s="22">
        <v>0</v>
      </c>
      <c r="S73" s="22">
        <v>117.1</v>
      </c>
      <c r="U73" s="22">
        <v>999.4</v>
      </c>
      <c r="V73" s="22">
        <v>259</v>
      </c>
      <c r="W73" s="22">
        <v>0</v>
      </c>
      <c r="X73" s="22">
        <v>117.1</v>
      </c>
    </row>
    <row r="74" spans="1:25" x14ac:dyDescent="0.25">
      <c r="A74" s="9">
        <v>2</v>
      </c>
      <c r="B74" s="42"/>
      <c r="C74" s="10" t="s">
        <v>177</v>
      </c>
      <c r="D74" s="48"/>
      <c r="F74" s="41">
        <v>183</v>
      </c>
      <c r="G74" s="23">
        <v>392</v>
      </c>
      <c r="H74" s="23">
        <v>0</v>
      </c>
      <c r="I74" s="40">
        <v>116.5</v>
      </c>
      <c r="K74" s="41">
        <v>183</v>
      </c>
      <c r="L74" s="23">
        <v>392</v>
      </c>
      <c r="M74" s="23">
        <v>0</v>
      </c>
      <c r="N74" s="40">
        <v>116.5</v>
      </c>
      <c r="P74" s="22">
        <v>183</v>
      </c>
      <c r="Q74" s="22">
        <v>392</v>
      </c>
      <c r="R74" s="22">
        <v>0</v>
      </c>
      <c r="S74" s="22">
        <v>116.5</v>
      </c>
      <c r="U74" s="22">
        <v>183</v>
      </c>
      <c r="V74" s="22">
        <v>392</v>
      </c>
      <c r="W74" s="22">
        <v>0</v>
      </c>
      <c r="X74" s="22">
        <v>116.5</v>
      </c>
    </row>
    <row r="75" spans="1:25" x14ac:dyDescent="0.25">
      <c r="A75" s="9">
        <v>2</v>
      </c>
      <c r="B75" s="42"/>
      <c r="C75" s="10" t="s">
        <v>178</v>
      </c>
      <c r="D75" s="48"/>
      <c r="F75" s="42">
        <v>649.6</v>
      </c>
      <c r="G75" s="23">
        <v>261.3</v>
      </c>
      <c r="H75" s="23">
        <v>0</v>
      </c>
      <c r="I75" s="40">
        <v>106</v>
      </c>
      <c r="K75" s="42">
        <v>649.6</v>
      </c>
      <c r="L75" s="23">
        <v>261.3</v>
      </c>
      <c r="M75" s="23">
        <v>0</v>
      </c>
      <c r="N75" s="40">
        <v>106</v>
      </c>
      <c r="P75" s="22">
        <v>649.6</v>
      </c>
      <c r="Q75" s="22">
        <v>261.3</v>
      </c>
      <c r="R75" s="22">
        <v>0</v>
      </c>
      <c r="S75" s="22">
        <v>106</v>
      </c>
      <c r="U75" s="22">
        <v>649.6</v>
      </c>
      <c r="V75" s="22">
        <v>261.3</v>
      </c>
      <c r="W75" s="22">
        <v>0</v>
      </c>
      <c r="X75" s="22">
        <v>106</v>
      </c>
    </row>
    <row r="76" spans="1:25" x14ac:dyDescent="0.25">
      <c r="A76" s="9">
        <v>2</v>
      </c>
      <c r="B76" s="42"/>
      <c r="C76" s="10" t="s">
        <v>179</v>
      </c>
      <c r="D76" s="48"/>
      <c r="F76" s="39" cm="1">
        <f t="array" ref="F76">SUM(($A77:$A79=3)*F77:F79)</f>
        <v>639.29999999999995</v>
      </c>
      <c r="G76" s="23" cm="1">
        <f t="array" ref="G76">SUMPRODUCT(($A77:$A79=3)*F77:F79, G77:G79)/F76</f>
        <v>282.55340215861105</v>
      </c>
      <c r="H76" s="23" cm="1">
        <f t="array" ref="H76">SUMPRODUCT(($A77:$A79=3)*F77:F79, H77:H79)/F76</f>
        <v>0</v>
      </c>
      <c r="I76" s="40" cm="1">
        <f t="array" ref="I76">SUMPRODUCT(($A77:$A79=3)*F77:F79, I77:I79)/F76</f>
        <v>69.274127952447998</v>
      </c>
      <c r="K76" s="39" cm="1">
        <f t="array" ref="K76">SUM(($A77:$A79=3)*K77:K79)</f>
        <v>639.29999999999995</v>
      </c>
      <c r="L76" s="23" cm="1">
        <f t="array" ref="L76">SUMPRODUCT(($A77:$A79=3)*K77:K79, L77:L79)/K76</f>
        <v>284.32369779446276</v>
      </c>
      <c r="M76" s="23" cm="1">
        <f t="array" ref="M76">SUMPRODUCT(($A77:$A79=3)*K77:K79, M77:M79)/K76</f>
        <v>0</v>
      </c>
      <c r="N76" s="40" cm="1">
        <f t="array" ref="N76">SUMPRODUCT(($A77:$A79=3)*K77:K79, N77:N79)/K76</f>
        <v>69.274127952447998</v>
      </c>
      <c r="P76" s="22">
        <v>577.29999999999995</v>
      </c>
      <c r="Q76" s="22">
        <v>246.9</v>
      </c>
      <c r="R76" s="22">
        <v>0</v>
      </c>
      <c r="S76" s="22">
        <v>68.599999999999994</v>
      </c>
      <c r="U76" s="22">
        <v>577.29999999999995</v>
      </c>
      <c r="V76" s="22">
        <v>246.9</v>
      </c>
      <c r="W76" s="22">
        <v>0</v>
      </c>
      <c r="X76" s="22">
        <v>68.599999999999994</v>
      </c>
    </row>
    <row r="77" spans="1:25" x14ac:dyDescent="0.25">
      <c r="A77" s="9">
        <v>3</v>
      </c>
      <c r="B77" s="42"/>
      <c r="C77" s="10"/>
      <c r="D77" s="48" t="s">
        <v>180</v>
      </c>
      <c r="F77" s="42">
        <v>136.30000000000001</v>
      </c>
      <c r="G77" s="23">
        <f>166.3+36</f>
        <v>202.3</v>
      </c>
      <c r="H77" s="23">
        <v>0</v>
      </c>
      <c r="I77" s="40">
        <v>72.5</v>
      </c>
      <c r="K77" s="42">
        <v>136.30000000000001</v>
      </c>
      <c r="L77" s="23">
        <f>166.3+36</f>
        <v>202.3</v>
      </c>
      <c r="M77" s="23">
        <v>0</v>
      </c>
      <c r="N77" s="40">
        <v>72.5</v>
      </c>
      <c r="P77" s="22">
        <v>124.3</v>
      </c>
      <c r="Q77" s="22">
        <v>166.6</v>
      </c>
      <c r="R77" s="22">
        <v>0</v>
      </c>
      <c r="S77" s="22">
        <v>72</v>
      </c>
      <c r="U77" s="22">
        <v>124.3</v>
      </c>
      <c r="V77" s="22">
        <v>166.6</v>
      </c>
      <c r="W77" s="22">
        <v>0</v>
      </c>
      <c r="X77" s="22">
        <v>72</v>
      </c>
    </row>
    <row r="78" spans="1:25" x14ac:dyDescent="0.25">
      <c r="A78" s="9">
        <v>3</v>
      </c>
      <c r="B78" s="42"/>
      <c r="C78" s="10"/>
      <c r="D78" s="48" t="s">
        <v>182</v>
      </c>
      <c r="F78" s="42">
        <v>251.5</v>
      </c>
      <c r="G78" s="33">
        <f>268.3+36</f>
        <v>304.3</v>
      </c>
      <c r="H78" s="23">
        <v>-39.200000000000003</v>
      </c>
      <c r="I78" s="40">
        <v>68.400000000000006</v>
      </c>
      <c r="K78" s="42">
        <v>251.5</v>
      </c>
      <c r="L78" s="32">
        <f>268.3+L69+36</f>
        <v>306.55</v>
      </c>
      <c r="M78" s="23">
        <v>-39.200000000000003</v>
      </c>
      <c r="N78" s="40">
        <v>68.400000000000006</v>
      </c>
      <c r="P78" s="22">
        <v>226.5</v>
      </c>
      <c r="Q78" s="22">
        <v>268.89999999999998</v>
      </c>
      <c r="R78" s="22">
        <v>-39.700000000000003</v>
      </c>
      <c r="S78" s="22">
        <v>67.7</v>
      </c>
      <c r="U78" s="22">
        <v>226.5</v>
      </c>
      <c r="V78" s="22">
        <v>268.89999999999998</v>
      </c>
      <c r="W78" s="22">
        <v>-39.700000000000003</v>
      </c>
      <c r="X78" s="22">
        <v>67.7</v>
      </c>
    </row>
    <row r="79" spans="1:25" x14ac:dyDescent="0.25">
      <c r="A79" s="9">
        <v>3</v>
      </c>
      <c r="B79" s="42"/>
      <c r="C79" s="10"/>
      <c r="D79" s="48" t="s">
        <v>181</v>
      </c>
      <c r="F79" s="42">
        <v>251.5</v>
      </c>
      <c r="G79" s="33">
        <f>268.3+36</f>
        <v>304.3</v>
      </c>
      <c r="H79" s="23">
        <v>39.200000000000003</v>
      </c>
      <c r="I79" s="40">
        <v>68.400000000000006</v>
      </c>
      <c r="K79" s="42">
        <v>251.5</v>
      </c>
      <c r="L79" s="32">
        <f>268.3+L69+36</f>
        <v>306.55</v>
      </c>
      <c r="M79" s="23">
        <v>39.200000000000003</v>
      </c>
      <c r="N79" s="40">
        <v>68.400000000000006</v>
      </c>
      <c r="P79" s="22">
        <v>226.5</v>
      </c>
      <c r="Q79" s="22">
        <v>268.89999999999998</v>
      </c>
      <c r="R79" s="22">
        <v>39.700000000000003</v>
      </c>
      <c r="S79" s="22">
        <v>67.7</v>
      </c>
      <c r="U79" s="22">
        <v>226.5</v>
      </c>
      <c r="V79" s="22">
        <v>268.89999999999998</v>
      </c>
      <c r="W79" s="22">
        <v>39.700000000000003</v>
      </c>
      <c r="X79" s="22">
        <v>67.7</v>
      </c>
    </row>
    <row r="80" spans="1:25" x14ac:dyDescent="0.25">
      <c r="A80" s="9">
        <v>1</v>
      </c>
      <c r="B80" s="60" t="s">
        <v>183</v>
      </c>
      <c r="C80" s="28"/>
      <c r="D80" s="61"/>
      <c r="F80" s="37" cm="1">
        <f t="array" ref="F80">SUM(($A81:$A82=2)*F81:F82)</f>
        <v>624.1</v>
      </c>
      <c r="G80" s="21" cm="1">
        <f t="array" ref="G80">SUMPRODUCT(($A81:$A82=2)*F81:F82, G81:G82)/F80</f>
        <v>377.68593174170803</v>
      </c>
      <c r="H80" s="21" cm="1">
        <f t="array" ref="H80">SUMPRODUCT(($A81:$A82=2)*F81:F82, H81:H82)/F80</f>
        <v>0.5</v>
      </c>
      <c r="I80" s="38" cm="1">
        <f t="array" ref="I80">SUMPRODUCT(($A81:$A82=2)*F81:F82, I81:I82)/F80</f>
        <v>107.41535010414999</v>
      </c>
      <c r="K80" s="37" cm="1">
        <f t="array" ref="K80">SUM(($A81:$A82=2)*K81:K82)</f>
        <v>624.1</v>
      </c>
      <c r="L80" s="21" cm="1">
        <f t="array" ref="L80">SUMPRODUCT(($A81:$A82=2)*K81:K82, L81:L82)/K80</f>
        <v>377.68593174170803</v>
      </c>
      <c r="M80" s="21" cm="1">
        <f t="array" ref="M80">SUMPRODUCT(($A81:$A82=2)*K81:K82, M81:M82)/K80</f>
        <v>0.5</v>
      </c>
      <c r="N80" s="38" cm="1">
        <f t="array" ref="N80">SUMPRODUCT(($A81:$A82=2)*K81:K82, N81:N82)/K80</f>
        <v>107.41535010414999</v>
      </c>
      <c r="P80" s="20">
        <f>SUM(P81:P82)</f>
        <v>628.1</v>
      </c>
      <c r="Q80" s="21">
        <f>SUMPRODUCT(P81:P82, Q81:Q82)/P80</f>
        <v>377.78191370800829</v>
      </c>
      <c r="R80" s="21">
        <f>SUMPRODUCT(P81:P82, R81:R82)/P80</f>
        <v>0.5</v>
      </c>
      <c r="S80" s="21">
        <f>SUMPRODUCT(P81:P82, S81:S82)/P80</f>
        <v>107.41397866581754</v>
      </c>
      <c r="U80" s="20">
        <f>SUM(U81:U82)</f>
        <v>628.1</v>
      </c>
      <c r="V80" s="21">
        <f>SUMPRODUCT(U81:U82, V81:V82)/U80</f>
        <v>377.78191370800829</v>
      </c>
      <c r="W80" s="21">
        <f>SUMPRODUCT(U81:U82, W81:W82)/U80</f>
        <v>0.5</v>
      </c>
      <c r="X80" s="21">
        <f>SUMPRODUCT(U81:U82, X81:X82)/U80</f>
        <v>107.41397866581754</v>
      </c>
    </row>
    <row r="81" spans="1:24" x14ac:dyDescent="0.25">
      <c r="A81" s="9">
        <v>2</v>
      </c>
      <c r="B81" s="42"/>
      <c r="C81" s="10" t="s">
        <v>184</v>
      </c>
      <c r="D81" s="48"/>
      <c r="F81" s="42">
        <v>489.7</v>
      </c>
      <c r="G81" s="23">
        <v>405.1</v>
      </c>
      <c r="H81" s="23">
        <v>0.5</v>
      </c>
      <c r="I81" s="40">
        <v>107.2</v>
      </c>
      <c r="K81" s="42">
        <v>489.7</v>
      </c>
      <c r="L81" s="23">
        <v>405.1</v>
      </c>
      <c r="M81" s="23">
        <v>0.5</v>
      </c>
      <c r="N81" s="40">
        <v>107.2</v>
      </c>
      <c r="P81" s="22">
        <v>493.7</v>
      </c>
      <c r="Q81" s="22">
        <v>405</v>
      </c>
      <c r="R81" s="22">
        <v>0.5</v>
      </c>
      <c r="S81" s="22">
        <v>107.2</v>
      </c>
      <c r="U81" s="22">
        <v>493.7</v>
      </c>
      <c r="V81" s="22">
        <v>405</v>
      </c>
      <c r="W81" s="22">
        <v>0.5</v>
      </c>
      <c r="X81" s="22">
        <v>107.2</v>
      </c>
    </row>
    <row r="82" spans="1:24" x14ac:dyDescent="0.25">
      <c r="A82" s="9">
        <v>2</v>
      </c>
      <c r="B82" s="42"/>
      <c r="C82" s="10" t="s">
        <v>185</v>
      </c>
      <c r="D82" s="48"/>
      <c r="F82" s="42">
        <v>134.4</v>
      </c>
      <c r="G82" s="23">
        <v>277.8</v>
      </c>
      <c r="H82" s="23">
        <v>0.5</v>
      </c>
      <c r="I82" s="40">
        <v>108.2</v>
      </c>
      <c r="K82" s="42">
        <v>134.4</v>
      </c>
      <c r="L82" s="23">
        <v>277.8</v>
      </c>
      <c r="M82" s="23">
        <v>0.5</v>
      </c>
      <c r="N82" s="40">
        <v>108.2</v>
      </c>
      <c r="P82" s="22">
        <v>134.4</v>
      </c>
      <c r="Q82" s="22">
        <v>277.8</v>
      </c>
      <c r="R82" s="22">
        <v>0.5</v>
      </c>
      <c r="S82" s="22">
        <v>108.2</v>
      </c>
      <c r="U82" s="22">
        <v>134.4</v>
      </c>
      <c r="V82" s="22">
        <v>277.8</v>
      </c>
      <c r="W82" s="22">
        <v>0.5</v>
      </c>
      <c r="X82" s="22">
        <v>108.2</v>
      </c>
    </row>
    <row r="83" spans="1:24" x14ac:dyDescent="0.25">
      <c r="A83" s="9">
        <v>1</v>
      </c>
      <c r="B83" s="60" t="s">
        <v>186</v>
      </c>
      <c r="C83" s="28"/>
      <c r="D83" s="61"/>
      <c r="F83" s="37" cm="1">
        <f t="array" ref="F83">SUM(($A84:$A90=2)*F84:F90)</f>
        <v>905.6</v>
      </c>
      <c r="G83" s="21" cm="1">
        <f t="array" ref="G83">SUMPRODUCT(($A84:$A90=2)*F84:F90, G84:G90)/F83</f>
        <v>226.20025397526501</v>
      </c>
      <c r="H83" s="21" cm="1">
        <f t="array" ref="H83">SUMPRODUCT(($A84:$A90=2)*F84:F90, H84:H90)/F83</f>
        <v>1.3361196996466431</v>
      </c>
      <c r="I83" s="38" cm="1">
        <f t="array" ref="I83">SUMPRODUCT(($A84:$A90=2)*F84:F90, I84:I90)/F83</f>
        <v>103.50228577738517</v>
      </c>
      <c r="K83" s="37" cm="1">
        <f t="array" ref="K83">SUM(($A84:$A90=2)*K84:K90)</f>
        <v>905.6</v>
      </c>
      <c r="L83" s="21" cm="1">
        <f t="array" ref="L83">SUMPRODUCT(($A84:$A90=2)*K84:K90, L84:L90)/K83</f>
        <v>226.20025397526501</v>
      </c>
      <c r="M83" s="21" cm="1">
        <f t="array" ref="M83">SUMPRODUCT(($A84:$A90=2)*K84:K90, M84:M90)/K83</f>
        <v>1.3361196996466431</v>
      </c>
      <c r="N83" s="38" cm="1">
        <f t="array" ref="N83">SUMPRODUCT(($A84:$A90=2)*K84:K90, N84:N90)/K83</f>
        <v>103.50228577738517</v>
      </c>
      <c r="P83" s="20">
        <f>SUM(P84:P85)</f>
        <v>844.59999999999991</v>
      </c>
      <c r="Q83" s="21">
        <f>SUMPRODUCT(P84:P85, Q84:Q85)/P83</f>
        <v>226.20117215249826</v>
      </c>
      <c r="R83" s="21">
        <f>SUMPRODUCT(P84:P85, R84:R85)/P83</f>
        <v>1.2559554818849161</v>
      </c>
      <c r="S83" s="21">
        <f>SUMPRODUCT(P84:P85, S84:S85)/P83</f>
        <v>103.76623253611179</v>
      </c>
      <c r="U83" s="20">
        <f>SUM(U84:U85)</f>
        <v>844.59999999999991</v>
      </c>
      <c r="V83" s="21">
        <f>SUMPRODUCT(U84:U85, V84:V85)/U83</f>
        <v>226.20117215249826</v>
      </c>
      <c r="W83" s="21">
        <f>SUMPRODUCT(U84:U85, W84:W85)/U83</f>
        <v>1.2559554818849161</v>
      </c>
      <c r="X83" s="21">
        <f>SUMPRODUCT(U84:U85, X84:X85)/U83</f>
        <v>103.76623253611179</v>
      </c>
    </row>
    <row r="84" spans="1:24" x14ac:dyDescent="0.25">
      <c r="A84" s="9">
        <v>2</v>
      </c>
      <c r="B84" s="42"/>
      <c r="C84" s="10" t="s">
        <v>187</v>
      </c>
      <c r="D84" s="48"/>
      <c r="F84" s="42">
        <v>388.5</v>
      </c>
      <c r="G84" s="23">
        <v>256</v>
      </c>
      <c r="H84" s="23">
        <v>1.3</v>
      </c>
      <c r="I84" s="40">
        <v>101.9</v>
      </c>
      <c r="K84" s="42">
        <v>388.5</v>
      </c>
      <c r="L84" s="23">
        <v>256</v>
      </c>
      <c r="M84" s="23">
        <v>1.3</v>
      </c>
      <c r="N84" s="40">
        <v>101.9</v>
      </c>
      <c r="P84" s="22">
        <v>308.5</v>
      </c>
      <c r="Q84" s="22">
        <v>256</v>
      </c>
      <c r="R84" s="22">
        <v>1.3</v>
      </c>
      <c r="S84" s="22">
        <v>101.9</v>
      </c>
      <c r="U84" s="22">
        <v>308.5</v>
      </c>
      <c r="V84" s="22">
        <v>256</v>
      </c>
      <c r="W84" s="22">
        <v>1.3</v>
      </c>
      <c r="X84" s="22">
        <v>101.9</v>
      </c>
    </row>
    <row r="85" spans="1:24" x14ac:dyDescent="0.25">
      <c r="A85" s="9">
        <v>2</v>
      </c>
      <c r="B85" s="42"/>
      <c r="C85" s="10" t="s">
        <v>188</v>
      </c>
      <c r="D85" s="48"/>
      <c r="F85" s="39" cm="1">
        <f t="array" ref="F85">SUM(($A86:$A90=3)*F86:F90)</f>
        <v>517.1</v>
      </c>
      <c r="G85" s="23" cm="1">
        <f t="array" ref="G85">SUMPRODUCT(($A86:$A90=3)*F86:F90, G86:G90)/F85</f>
        <v>203.81154515567587</v>
      </c>
      <c r="H85" s="23" cm="1">
        <f t="array" ref="H85">SUMPRODUCT(($A86:$A90=3)*F86:F90, H86:H90)/F85</f>
        <v>1.3632566234770835</v>
      </c>
      <c r="I85" s="40" cm="1">
        <f t="array" ref="I85">SUMPRODUCT(($A86:$A90=3)*F86:F90, I86:I90)/F85</f>
        <v>104.70609166505511</v>
      </c>
      <c r="K85" s="39" cm="1">
        <f t="array" ref="K85">SUM(($A86:$A90=3)*K86:K90)</f>
        <v>517.1</v>
      </c>
      <c r="L85" s="23" cm="1">
        <f t="array" ref="L85">SUMPRODUCT(($A86:$A90=3)*K86:K90, L86:L90)/K85</f>
        <v>203.81154515567587</v>
      </c>
      <c r="M85" s="23" cm="1">
        <f t="array" ref="M85">SUMPRODUCT(($A86:$A90=3)*K86:K90, M86:M90)/K85</f>
        <v>1.3632566234770835</v>
      </c>
      <c r="N85" s="40" cm="1">
        <f t="array" ref="N85">SUMPRODUCT(($A86:$A90=3)*K86:K90, N86:N90)/K85</f>
        <v>104.70609166505511</v>
      </c>
      <c r="P85" s="20">
        <f>SUM(P86:P90)</f>
        <v>536.09999999999991</v>
      </c>
      <c r="Q85" s="21">
        <f>SUMPRODUCT(P86:P90, Q86:Q90)/P85</f>
        <v>209.05336690915877</v>
      </c>
      <c r="R85" s="21">
        <f>SUMPRODUCT(P86:P90, R86:R90)/P85</f>
        <v>1.230609960828204</v>
      </c>
      <c r="S85" s="21">
        <f>SUMPRODUCT(P86:P90, S86:S90)/P85</f>
        <v>104.84016041783252</v>
      </c>
      <c r="U85" s="20">
        <f>SUM(U86:U90)</f>
        <v>536.09999999999991</v>
      </c>
      <c r="V85" s="21">
        <f>SUMPRODUCT(U86:U90, V86:V90)/U85</f>
        <v>209.05336690915877</v>
      </c>
      <c r="W85" s="21">
        <f>SUMPRODUCT(U86:U90, W86:W90)/U85</f>
        <v>1.230609960828204</v>
      </c>
      <c r="X85" s="21">
        <f>SUMPRODUCT(U86:U90, X86:X90)/U85</f>
        <v>104.84016041783252</v>
      </c>
    </row>
    <row r="86" spans="1:24" x14ac:dyDescent="0.25">
      <c r="A86" s="9">
        <v>3</v>
      </c>
      <c r="B86" s="42"/>
      <c r="C86" s="10"/>
      <c r="D86" s="48" t="s">
        <v>189</v>
      </c>
      <c r="F86" s="42">
        <v>10.5</v>
      </c>
      <c r="G86" s="23">
        <v>154.6</v>
      </c>
      <c r="H86" s="23">
        <v>-16.600000000000001</v>
      </c>
      <c r="I86" s="40">
        <v>101.4</v>
      </c>
      <c r="K86" s="42">
        <v>10.5</v>
      </c>
      <c r="L86" s="23">
        <v>154.6</v>
      </c>
      <c r="M86" s="23">
        <v>-16.600000000000001</v>
      </c>
      <c r="N86" s="40">
        <v>101.4</v>
      </c>
      <c r="P86" s="22">
        <v>10.5</v>
      </c>
      <c r="Q86" s="22">
        <v>154.6</v>
      </c>
      <c r="R86" s="22">
        <v>-16.600000000000001</v>
      </c>
      <c r="S86" s="22">
        <v>101.4</v>
      </c>
      <c r="U86" s="22">
        <v>10.5</v>
      </c>
      <c r="V86" s="22">
        <v>154.6</v>
      </c>
      <c r="W86" s="22">
        <v>-16.600000000000001</v>
      </c>
      <c r="X86" s="22">
        <v>101.4</v>
      </c>
    </row>
    <row r="87" spans="1:24" x14ac:dyDescent="0.25">
      <c r="A87" s="9">
        <v>3</v>
      </c>
      <c r="B87" s="42"/>
      <c r="C87" s="10"/>
      <c r="D87" s="48" t="s">
        <v>190</v>
      </c>
      <c r="F87" s="42">
        <v>25.2</v>
      </c>
      <c r="G87" s="23">
        <v>139</v>
      </c>
      <c r="H87" s="23">
        <v>1.3</v>
      </c>
      <c r="I87" s="40">
        <v>89.5</v>
      </c>
      <c r="K87" s="42">
        <v>25.2</v>
      </c>
      <c r="L87" s="23">
        <v>139</v>
      </c>
      <c r="M87" s="23">
        <v>1.3</v>
      </c>
      <c r="N87" s="40">
        <v>89.5</v>
      </c>
      <c r="P87" s="22">
        <v>25.2</v>
      </c>
      <c r="Q87" s="22">
        <v>139</v>
      </c>
      <c r="R87" s="22">
        <v>1.3</v>
      </c>
      <c r="S87" s="22">
        <v>89.5</v>
      </c>
      <c r="U87" s="22">
        <v>25.2</v>
      </c>
      <c r="V87" s="22">
        <v>139</v>
      </c>
      <c r="W87" s="22">
        <v>1.3</v>
      </c>
      <c r="X87" s="22">
        <v>89.5</v>
      </c>
    </row>
    <row r="88" spans="1:24" x14ac:dyDescent="0.25">
      <c r="A88" s="9">
        <v>3</v>
      </c>
      <c r="B88" s="42"/>
      <c r="C88" s="10"/>
      <c r="D88" s="48" t="s">
        <v>191</v>
      </c>
      <c r="F88" s="42">
        <v>346.1</v>
      </c>
      <c r="G88" s="23">
        <v>167.3</v>
      </c>
      <c r="H88" s="23">
        <v>2.4</v>
      </c>
      <c r="I88" s="40">
        <v>103.1</v>
      </c>
      <c r="K88" s="42">
        <v>346.1</v>
      </c>
      <c r="L88" s="23">
        <v>167.3</v>
      </c>
      <c r="M88" s="23">
        <v>2.4</v>
      </c>
      <c r="N88" s="40">
        <v>103.1</v>
      </c>
      <c r="P88" s="22">
        <v>353.5</v>
      </c>
      <c r="Q88" s="22">
        <v>170.6</v>
      </c>
      <c r="R88" s="22">
        <v>2.2999999999999998</v>
      </c>
      <c r="S88" s="22">
        <v>103.7</v>
      </c>
      <c r="U88" s="22">
        <v>353.5</v>
      </c>
      <c r="V88" s="22">
        <v>170.6</v>
      </c>
      <c r="W88" s="22">
        <v>2.2999999999999998</v>
      </c>
      <c r="X88" s="22">
        <v>103.7</v>
      </c>
    </row>
    <row r="89" spans="1:24" x14ac:dyDescent="0.25">
      <c r="A89" s="9">
        <v>3</v>
      </c>
      <c r="B89" s="42"/>
      <c r="C89" s="10"/>
      <c r="D89" s="48" t="s">
        <v>192</v>
      </c>
      <c r="F89" s="42">
        <v>126.5</v>
      </c>
      <c r="G89" s="23">
        <v>317.60000000000002</v>
      </c>
      <c r="H89" s="23">
        <v>0</v>
      </c>
      <c r="I89" s="40">
        <v>111.5</v>
      </c>
      <c r="K89" s="42">
        <v>126.5</v>
      </c>
      <c r="L89" s="23">
        <v>317.60000000000002</v>
      </c>
      <c r="M89" s="23">
        <v>0</v>
      </c>
      <c r="N89" s="40">
        <v>111.5</v>
      </c>
      <c r="P89" s="22">
        <v>138.1</v>
      </c>
      <c r="Q89" s="22">
        <v>321.89999999999998</v>
      </c>
      <c r="R89" s="22">
        <v>-0.2</v>
      </c>
      <c r="S89" s="22">
        <v>110</v>
      </c>
      <c r="U89" s="22">
        <v>138.1</v>
      </c>
      <c r="V89" s="22">
        <v>321.89999999999998</v>
      </c>
      <c r="W89" s="22">
        <v>-0.2</v>
      </c>
      <c r="X89" s="22">
        <v>110</v>
      </c>
    </row>
    <row r="90" spans="1:24" x14ac:dyDescent="0.25">
      <c r="A90" s="9">
        <v>3</v>
      </c>
      <c r="B90" s="42"/>
      <c r="C90" s="10"/>
      <c r="D90" s="48" t="s">
        <v>193</v>
      </c>
      <c r="F90" s="43">
        <v>8.8000000000000007</v>
      </c>
      <c r="G90" s="27">
        <v>248.4</v>
      </c>
      <c r="H90" s="27">
        <v>1.8</v>
      </c>
      <c r="I90" s="44">
        <v>117.7</v>
      </c>
      <c r="K90" s="43">
        <v>8.8000000000000007</v>
      </c>
      <c r="L90" s="27">
        <v>248.4</v>
      </c>
      <c r="M90" s="27">
        <v>1.8</v>
      </c>
      <c r="N90" s="44">
        <v>117.7</v>
      </c>
      <c r="P90" s="22">
        <v>8.8000000000000007</v>
      </c>
      <c r="Q90" s="22">
        <v>248.4</v>
      </c>
      <c r="R90" s="22">
        <v>1.8</v>
      </c>
      <c r="S90" s="22">
        <v>117.7</v>
      </c>
      <c r="U90" s="22">
        <v>8.8000000000000007</v>
      </c>
      <c r="V90" s="22">
        <v>248.4</v>
      </c>
      <c r="W90" s="22">
        <v>1.8</v>
      </c>
      <c r="X90" s="22">
        <v>117.7</v>
      </c>
    </row>
    <row r="91" spans="1:24" x14ac:dyDescent="0.25">
      <c r="A91" s="9">
        <v>0</v>
      </c>
      <c r="B91" s="62" t="s">
        <v>194</v>
      </c>
      <c r="C91" s="29"/>
      <c r="D91" s="63"/>
      <c r="F91" s="45" cm="1">
        <f t="array" ref="F91">SUM(($A72:$A90=1)*F72:F90)</f>
        <v>4077.8999999999996</v>
      </c>
      <c r="G91" s="34" cm="1">
        <f t="array" ref="G91">SUMPRODUCT(($A72:$A90=1)*F72:F90, G72:G90)/F91</f>
        <v>279.77565904019224</v>
      </c>
      <c r="H91" s="34" cm="1">
        <f t="array" ref="H91">SUMPRODUCT(($A72:$A90=1)*F72:F90, H72:H90)/F91</f>
        <v>0.37324112901248196</v>
      </c>
      <c r="I91" s="46" cm="1">
        <f t="array" ref="I91">SUMPRODUCT(($A72:$A90=1)*F72:F90, I72:I90)/F91</f>
        <v>103.3844037372177</v>
      </c>
      <c r="K91" s="45" cm="1">
        <f t="array" ref="K91">SUM(($A72:$A90=1)*K72:K90)</f>
        <v>4077.8999999999996</v>
      </c>
      <c r="L91" s="34" cm="1">
        <f t="array" ref="L91">SUMPRODUCT(($A72:$A90=1)*K72:K90, L72:L90)/K91</f>
        <v>280.64704504769611</v>
      </c>
      <c r="M91" s="34" cm="1">
        <f t="array" ref="M91">SUMPRODUCT(($A72:$A90=1)*K72:K90, M72:M90)/K91</f>
        <v>0.37324112901248196</v>
      </c>
      <c r="N91" s="46" cm="1">
        <f t="array" ref="N91">SUMPRODUCT(($A72:$A90=1)*K72:K90, N72:N90)/K91</f>
        <v>103.3844037372177</v>
      </c>
      <c r="P91" s="22">
        <v>3882</v>
      </c>
      <c r="Q91" s="22">
        <v>275.89999999999998</v>
      </c>
      <c r="R91" s="22">
        <v>0.4</v>
      </c>
      <c r="S91" s="22">
        <v>103.5</v>
      </c>
      <c r="U91" s="22">
        <v>3882</v>
      </c>
      <c r="V91" s="22">
        <v>275.89999999999998</v>
      </c>
      <c r="W91" s="22">
        <v>0.4</v>
      </c>
      <c r="X91" s="22">
        <v>103.5</v>
      </c>
    </row>
    <row r="92" spans="1:24" x14ac:dyDescent="0.25">
      <c r="A92" s="9">
        <v>1</v>
      </c>
      <c r="B92" s="60" t="s">
        <v>195</v>
      </c>
      <c r="C92" s="28"/>
      <c r="D92" s="61"/>
      <c r="F92" s="37" cm="1">
        <f t="array" ref="F92">SUM(($A93:$A94=2)*F93)</f>
        <v>24.5</v>
      </c>
      <c r="G92" s="21">
        <f>SUMPRODUCT(($A93=2)*F93, G93)/F92</f>
        <v>386.5</v>
      </c>
      <c r="H92" s="21">
        <f>SUMPRODUCT(($A93=2)*F93, H93)/F92</f>
        <v>-2.8</v>
      </c>
      <c r="I92" s="38">
        <f>SUMPRODUCT(($A93=2)*F93, I93)/F92</f>
        <v>113</v>
      </c>
      <c r="J92" s="7"/>
      <c r="K92" s="37" cm="1">
        <f t="array" ref="K92">SUM(($A93:$A94=2)*K93)</f>
        <v>24.5</v>
      </c>
      <c r="L92" s="21">
        <f>SUMPRODUCT(($A93=2)*K93, L93)/K92</f>
        <v>386.5</v>
      </c>
      <c r="M92" s="21">
        <f>SUMPRODUCT(($A93=2)*K93, M93)/K92</f>
        <v>-2.8</v>
      </c>
      <c r="N92" s="38">
        <f>SUMPRODUCT(($A93=2)*K93, N93)/K92</f>
        <v>113</v>
      </c>
      <c r="O92" s="7"/>
    </row>
    <row r="93" spans="1:24" x14ac:dyDescent="0.25">
      <c r="A93" s="9">
        <v>2</v>
      </c>
      <c r="B93" s="42"/>
      <c r="C93" s="10" t="s">
        <v>196</v>
      </c>
      <c r="D93" s="48"/>
      <c r="F93" s="42">
        <v>24.5</v>
      </c>
      <c r="G93" s="10">
        <v>386.5</v>
      </c>
      <c r="H93" s="10">
        <v>-2.8</v>
      </c>
      <c r="I93" s="40">
        <v>113</v>
      </c>
      <c r="K93" s="42">
        <v>24.5</v>
      </c>
      <c r="L93" s="10">
        <v>386.5</v>
      </c>
      <c r="M93" s="10">
        <v>-2.8</v>
      </c>
      <c r="N93" s="40">
        <v>113</v>
      </c>
      <c r="P93" s="5">
        <v>24.5</v>
      </c>
      <c r="Q93" s="5">
        <v>386.5</v>
      </c>
      <c r="R93" s="5">
        <v>-2.8</v>
      </c>
      <c r="S93" s="5">
        <v>113</v>
      </c>
      <c r="U93" s="5">
        <v>24.5</v>
      </c>
      <c r="V93" s="5">
        <v>386.5</v>
      </c>
      <c r="W93" s="5">
        <v>-2.8</v>
      </c>
      <c r="X93" s="5">
        <v>113</v>
      </c>
    </row>
    <row r="94" spans="1:24" x14ac:dyDescent="0.25">
      <c r="A94" s="9">
        <v>1</v>
      </c>
      <c r="B94" s="60" t="s">
        <v>197</v>
      </c>
      <c r="C94" s="28"/>
      <c r="D94" s="61"/>
      <c r="F94" s="42">
        <v>406.1</v>
      </c>
      <c r="G94" s="10">
        <v>164.9</v>
      </c>
      <c r="H94" s="10">
        <v>-4.2</v>
      </c>
      <c r="I94" s="40">
        <v>99</v>
      </c>
      <c r="K94" s="42">
        <v>406.1</v>
      </c>
      <c r="L94" s="10">
        <v>164.9</v>
      </c>
      <c r="M94" s="10">
        <v>-4.2</v>
      </c>
      <c r="N94" s="40">
        <v>99</v>
      </c>
      <c r="P94" s="5">
        <v>385.7</v>
      </c>
      <c r="Q94" s="5">
        <v>156.9</v>
      </c>
      <c r="R94" s="5">
        <v>-1.3</v>
      </c>
      <c r="S94" s="5">
        <v>99.1</v>
      </c>
      <c r="U94" s="5">
        <v>406.1</v>
      </c>
      <c r="V94" s="5">
        <v>164.9</v>
      </c>
      <c r="W94" s="5">
        <v>-4.2</v>
      </c>
      <c r="X94" s="5">
        <v>99</v>
      </c>
    </row>
    <row r="95" spans="1:24" x14ac:dyDescent="0.25">
      <c r="A95" s="9">
        <v>1</v>
      </c>
      <c r="B95" s="60" t="s">
        <v>220</v>
      </c>
      <c r="C95" s="28"/>
      <c r="D95" s="61"/>
      <c r="F95" s="47">
        <v>140</v>
      </c>
      <c r="G95" s="23">
        <v>116</v>
      </c>
      <c r="H95" s="23">
        <v>0</v>
      </c>
      <c r="I95" s="48">
        <v>106.8</v>
      </c>
      <c r="K95" s="59">
        <v>70</v>
      </c>
      <c r="L95" s="23">
        <v>116</v>
      </c>
      <c r="M95" s="23">
        <v>0</v>
      </c>
      <c r="N95" s="48">
        <v>106.8</v>
      </c>
      <c r="P95" s="5">
        <v>160</v>
      </c>
      <c r="Q95" s="5">
        <v>116</v>
      </c>
      <c r="R95" s="5">
        <v>0</v>
      </c>
      <c r="S95" s="5">
        <v>106.8</v>
      </c>
      <c r="U95" s="5">
        <v>170</v>
      </c>
      <c r="V95" s="5">
        <v>116</v>
      </c>
      <c r="W95" s="5">
        <v>0</v>
      </c>
      <c r="X95" s="5">
        <v>106.8</v>
      </c>
    </row>
    <row r="96" spans="1:24" x14ac:dyDescent="0.25">
      <c r="A96" s="9">
        <v>0</v>
      </c>
      <c r="B96" s="105" t="s">
        <v>198</v>
      </c>
      <c r="C96" s="106"/>
      <c r="D96" s="107"/>
      <c r="F96" s="45" cm="1">
        <f t="array" ref="F96">SUM(($A72:$A95=1)*F72:F95)</f>
        <v>4648.5</v>
      </c>
      <c r="G96" s="25" cm="1">
        <f t="array" ref="G96">SUMPRODUCT(($A72:$A95=1)*F72:F95, G72:G95)/F96</f>
        <v>265.36996880714207</v>
      </c>
      <c r="H96" s="25" cm="1">
        <f t="array" ref="H96">SUMPRODUCT(($A72:$A95=1)*F72:F95, H72:H95)/F96</f>
        <v>-5.4249757986447253E-2</v>
      </c>
      <c r="I96" s="49" cm="1">
        <f t="array" ref="I96">SUMPRODUCT(($A72:$A95=1)*F72:F95, I72:I95)/F96</f>
        <v>103.15492309347101</v>
      </c>
      <c r="J96" s="7"/>
      <c r="K96" s="45" cm="1">
        <f t="array" ref="K96">SUM(($A72:$A95=1)*K72:K95)</f>
        <v>4578.5</v>
      </c>
      <c r="L96" s="25" cm="1">
        <f t="array" ref="L96">SUMPRODUCT(($A72:$A95=1)*K72:K95, L72:L95)/K96</f>
        <v>268.42977503549196</v>
      </c>
      <c r="M96" s="25" cm="1">
        <f t="array" ref="M96">SUMPRODUCT(($A72:$A95=1)*K72:K95, M72:M95)/K96</f>
        <v>-5.5079174402096767E-2</v>
      </c>
      <c r="N96" s="49" cm="1">
        <f t="array" ref="N96">SUMPRODUCT(($A72:$A95=1)*K72:K95, N72:N95)/K96</f>
        <v>103.0991940591897</v>
      </c>
      <c r="O96" s="7"/>
    </row>
    <row r="97" spans="1:15" x14ac:dyDescent="0.25">
      <c r="B97" s="108"/>
      <c r="C97" s="109"/>
      <c r="D97" s="110"/>
      <c r="F97" s="50"/>
      <c r="G97" s="36">
        <f>(G96-237)/60*100</f>
        <v>47.283281345236787</v>
      </c>
      <c r="H97" s="25"/>
      <c r="I97" s="51"/>
      <c r="J97" s="7"/>
      <c r="K97" s="50"/>
      <c r="L97" s="36">
        <f>(L96-(237+L69))/60*100</f>
        <v>48.6329583924866</v>
      </c>
      <c r="M97" s="25"/>
      <c r="N97" s="51"/>
      <c r="O97" s="7"/>
    </row>
    <row r="98" spans="1:15" x14ac:dyDescent="0.25">
      <c r="A98" s="9">
        <v>1</v>
      </c>
      <c r="B98" s="42" t="s">
        <v>199</v>
      </c>
      <c r="C98" s="10"/>
      <c r="D98" s="48"/>
      <c r="F98" s="39">
        <v>14</v>
      </c>
      <c r="G98" s="22">
        <v>369.5</v>
      </c>
      <c r="H98" s="22">
        <v>-0.1</v>
      </c>
      <c r="I98" s="52">
        <v>111.3</v>
      </c>
      <c r="J98" s="7"/>
      <c r="K98" s="39">
        <v>14</v>
      </c>
      <c r="L98" s="22">
        <v>369.5</v>
      </c>
      <c r="M98" s="22">
        <v>-0.1</v>
      </c>
      <c r="N98" s="52">
        <v>111.3</v>
      </c>
      <c r="O98" s="7"/>
    </row>
    <row r="99" spans="1:15" x14ac:dyDescent="0.25">
      <c r="A99" s="9">
        <v>0</v>
      </c>
      <c r="B99" s="105" t="s">
        <v>200</v>
      </c>
      <c r="C99" s="106"/>
      <c r="D99" s="107"/>
      <c r="F99" s="45" cm="1">
        <f t="array" ref="F99">SUM(($A72:$A98=1)*F72:F98)</f>
        <v>4662.5</v>
      </c>
      <c r="G99" s="25" cm="1">
        <f t="array" ref="G99">SUMPRODUCT(($A72:$A98=1)*F72:F98, G72:G98)/F99</f>
        <v>265.68263806970504</v>
      </c>
      <c r="H99" s="25" cm="1">
        <f t="array" ref="H99">SUMPRODUCT(($A72:$A98=1)*F72:F98, H72:H98)/F99</f>
        <v>-5.4387131367292244E-2</v>
      </c>
      <c r="I99" s="49" cm="1">
        <f t="array" ref="I99">SUMPRODUCT(($A72:$A98=1)*F72:F98, I72:I98)/F99</f>
        <v>103.17938016085792</v>
      </c>
      <c r="J99" s="7"/>
      <c r="K99" s="45" cm="1">
        <f t="array" ref="K99">SUM(($A72:$A98=1)*K72:K98)</f>
        <v>4592.5</v>
      </c>
      <c r="L99" s="25" cm="1">
        <f t="array" ref="L99">SUMPRODUCT(($A72:$A98=1)*K72:K98, L72:L98)/K99</f>
        <v>268.73788241698418</v>
      </c>
      <c r="M99" s="25" cm="1">
        <f t="array" ref="M99">SUMPRODUCT(($A72:$A98=1)*K72:K98, M72:M98)/K99</f>
        <v>-5.5216113228089288E-2</v>
      </c>
      <c r="N99" s="49" cm="1">
        <f t="array" ref="N99">SUMPRODUCT(($A72:$A98=1)*K72:K98, N72:N98)/K99</f>
        <v>103.12419379422973</v>
      </c>
      <c r="O99" s="7"/>
    </row>
    <row r="100" spans="1:15" x14ac:dyDescent="0.25">
      <c r="B100" s="108"/>
      <c r="C100" s="109"/>
      <c r="D100" s="110"/>
      <c r="F100" s="50"/>
      <c r="G100" s="36">
        <f>(G99-237)/60*100</f>
        <v>47.804396782841721</v>
      </c>
      <c r="H100" s="25"/>
      <c r="I100" s="51"/>
      <c r="J100" s="7"/>
      <c r="K100" s="50"/>
      <c r="L100" s="36">
        <f>(L99-(237+L69))/60*100</f>
        <v>49.14647069497363</v>
      </c>
      <c r="M100" s="25"/>
      <c r="N100" s="51"/>
      <c r="O100" s="7"/>
    </row>
    <row r="101" spans="1:15" x14ac:dyDescent="0.25">
      <c r="A101" s="9">
        <v>1</v>
      </c>
      <c r="B101" s="42" t="s">
        <v>201</v>
      </c>
      <c r="C101" s="10"/>
      <c r="D101" s="48"/>
      <c r="F101" s="39">
        <v>50</v>
      </c>
      <c r="G101" s="22">
        <v>261.39999999999998</v>
      </c>
      <c r="H101" s="22">
        <v>0</v>
      </c>
      <c r="I101" s="52">
        <v>99</v>
      </c>
      <c r="J101" s="7"/>
      <c r="K101" s="39">
        <v>50</v>
      </c>
      <c r="L101" s="22">
        <v>261.39999999999998</v>
      </c>
      <c r="M101" s="22">
        <v>0</v>
      </c>
      <c r="N101" s="52">
        <v>99</v>
      </c>
      <c r="O101" s="7"/>
    </row>
    <row r="102" spans="1:15" x14ac:dyDescent="0.25">
      <c r="A102" s="9">
        <v>0</v>
      </c>
      <c r="B102" s="105" t="s">
        <v>202</v>
      </c>
      <c r="C102" s="106"/>
      <c r="D102" s="107"/>
      <c r="F102" s="45" cm="1">
        <f t="array" ref="F102">SUM(($A72:$A101=1)*F72:F101)</f>
        <v>4712.5</v>
      </c>
      <c r="G102" s="25" cm="1">
        <f t="array" ref="G102">SUMPRODUCT(($A72:$A101=1)*F72:F101, G72:G101)/F102</f>
        <v>265.63719893899201</v>
      </c>
      <c r="H102" s="25" cm="1">
        <f t="array" ref="H102">SUMPRODUCT(($A72:$A101=1)*F72:F101, H72:H101)/F102</f>
        <v>-5.3810079575596831E-2</v>
      </c>
      <c r="I102" s="49" cm="1">
        <f t="array" ref="I102">SUMPRODUCT(($A72:$A101=1)*F72:F101, I72:I101)/F102</f>
        <v>103.13503660477454</v>
      </c>
      <c r="J102" s="7"/>
      <c r="K102" s="45" cm="1">
        <f t="array" ref="K102">SUM(($A72:$A101=1)*K72:K101)</f>
        <v>4642.5</v>
      </c>
      <c r="L102" s="25" cm="1">
        <f t="array" ref="L102">SUMPRODUCT(($A72:$A101=1)*K72:K101, L72:L101)/K102</f>
        <v>268.65885298869142</v>
      </c>
      <c r="M102" s="25" cm="1">
        <f t="array" ref="M102">SUMPRODUCT(($A72:$A101=1)*K72:K101, M72:M101)/K102</f>
        <v>-5.4621432417878313E-2</v>
      </c>
      <c r="N102" s="49" cm="1">
        <f t="array" ref="N102">SUMPRODUCT(($A72:$A101=1)*K72:K101, N72:N101)/K102</f>
        <v>103.07977598276791</v>
      </c>
      <c r="O102" s="7"/>
    </row>
    <row r="103" spans="1:15" x14ac:dyDescent="0.25">
      <c r="B103" s="108"/>
      <c r="C103" s="109"/>
      <c r="D103" s="110"/>
      <c r="F103" s="50"/>
      <c r="G103" s="36">
        <f>(G102-237)/60*100</f>
        <v>47.728664898320019</v>
      </c>
      <c r="H103" s="25"/>
      <c r="I103" s="51"/>
      <c r="J103" s="7"/>
      <c r="K103" s="50"/>
      <c r="L103" s="36">
        <f>(L102-(237+L69))/60*100</f>
        <v>49.014754981152372</v>
      </c>
      <c r="M103" s="25"/>
      <c r="N103" s="51"/>
      <c r="O103" s="7"/>
    </row>
    <row r="104" spans="1:15" x14ac:dyDescent="0.25">
      <c r="A104" s="9">
        <v>1</v>
      </c>
      <c r="B104" s="42" t="s">
        <v>203</v>
      </c>
      <c r="C104" s="10"/>
      <c r="D104" s="48"/>
      <c r="F104" s="39">
        <v>2287.4</v>
      </c>
      <c r="G104" s="22">
        <v>261.39999999999998</v>
      </c>
      <c r="H104" s="22">
        <v>0</v>
      </c>
      <c r="I104" s="52">
        <v>109.4</v>
      </c>
      <c r="J104" s="7"/>
      <c r="K104" s="39">
        <f>7000-K102</f>
        <v>2357.5</v>
      </c>
      <c r="L104" s="22">
        <v>262.3</v>
      </c>
      <c r="M104" s="22">
        <v>0</v>
      </c>
      <c r="N104" s="52">
        <v>109.4</v>
      </c>
      <c r="O104" s="7"/>
    </row>
    <row r="105" spans="1:15" x14ac:dyDescent="0.25">
      <c r="B105" s="42" t="s">
        <v>218</v>
      </c>
      <c r="C105" s="10"/>
      <c r="D105" s="48"/>
      <c r="F105" s="53" cm="1">
        <f t="array" ref="F105">SUM(($A106:$A109=2)*F106:F109)</f>
        <v>2287.4</v>
      </c>
      <c r="G105" s="26" cm="1">
        <f t="array" ref="G105">SUMPRODUCT(($A106:$A109=2)*F106:F109, G106:G109)/F105</f>
        <v>261.39536035255378</v>
      </c>
      <c r="H105" s="26" cm="1">
        <f t="array" ref="H105">SUMPRODUCT(($A106:$A109=2)*F106:F109, H106:H109)/F105</f>
        <v>0</v>
      </c>
      <c r="I105" s="54" cm="1">
        <f t="array" ref="I105">SUMPRODUCT(($A106:$A109=2)*F106:F109, I106:I109)/F105</f>
        <v>0</v>
      </c>
      <c r="J105" s="7"/>
      <c r="K105" s="53" cm="1">
        <f t="array" ref="K105">SUM(($A106:$A109=2)*K106:K109)</f>
        <v>2357.5</v>
      </c>
      <c r="L105" s="26" cm="1">
        <f t="array" ref="L105">SUMPRODUCT(($A106:$A109=2)*K106:K109, L106:L109)/K105</f>
        <v>262.28115342976946</v>
      </c>
      <c r="M105" s="26" cm="1">
        <f t="array" ref="M105">SUMPRODUCT(($A106:$A109=2)*K106:K109, M106:M109)/K105</f>
        <v>0</v>
      </c>
      <c r="N105" s="54" cm="1">
        <f t="array" ref="N105">SUMPRODUCT(($A106:$A109=2)*K106:K109, N106:N109)/K105</f>
        <v>0</v>
      </c>
      <c r="O105" s="7"/>
    </row>
    <row r="106" spans="1:15" x14ac:dyDescent="0.25">
      <c r="A106" s="9">
        <v>2</v>
      </c>
      <c r="B106" s="42"/>
      <c r="C106" s="10" t="s">
        <v>214</v>
      </c>
      <c r="D106" s="48"/>
      <c r="F106" s="39">
        <f>F104*1594/(1594+1035)*134.3/(134.3+34+68.3)</f>
        <v>787.22906491641606</v>
      </c>
      <c r="G106" s="22">
        <v>230</v>
      </c>
      <c r="H106" s="22"/>
      <c r="I106" s="52"/>
      <c r="J106" s="7"/>
      <c r="K106" s="39">
        <f>K104*1594/(1594+1035)*134.3/(134.3+34+68.3)</f>
        <v>811.3546037162065</v>
      </c>
      <c r="L106" s="22">
        <v>230</v>
      </c>
      <c r="M106" s="22"/>
      <c r="N106" s="52"/>
      <c r="O106" s="7"/>
    </row>
    <row r="107" spans="1:15" x14ac:dyDescent="0.25">
      <c r="A107" s="9">
        <v>2</v>
      </c>
      <c r="B107" s="42"/>
      <c r="C107" s="10" t="s">
        <v>217</v>
      </c>
      <c r="D107" s="48"/>
      <c r="F107" s="39">
        <f>F104*1594/(1594+1035)*34/(134.3+34+68.3)</f>
        <v>199.29849744719394</v>
      </c>
      <c r="G107" s="22">
        <v>276</v>
      </c>
      <c r="H107" s="22"/>
      <c r="I107" s="52"/>
      <c r="J107" s="7"/>
      <c r="K107" s="39">
        <f>K104*1594/(1594+1035)*34/(134.3+34+68.3)</f>
        <v>205.40622878891301</v>
      </c>
      <c r="L107" s="22">
        <v>276</v>
      </c>
      <c r="M107" s="22"/>
      <c r="N107" s="52"/>
      <c r="O107" s="7"/>
    </row>
    <row r="108" spans="1:15" x14ac:dyDescent="0.25">
      <c r="A108" s="9">
        <v>2</v>
      </c>
      <c r="B108" s="42"/>
      <c r="C108" s="10" t="s">
        <v>215</v>
      </c>
      <c r="D108" s="48"/>
      <c r="F108" s="39">
        <f>F104*1594/(1594+1035)*68.3/(134.3+34+68.3)</f>
        <v>400.35551104833365</v>
      </c>
      <c r="G108" s="22">
        <v>310</v>
      </c>
      <c r="H108" s="22"/>
      <c r="I108" s="52"/>
      <c r="J108" s="7"/>
      <c r="K108" s="39">
        <f>K104*1594/(1594+1035)*68.3/(134.3+34+68.3)</f>
        <v>412.62486547890467</v>
      </c>
      <c r="L108" s="22">
        <v>310</v>
      </c>
      <c r="M108" s="22"/>
      <c r="N108" s="52"/>
      <c r="O108" s="7"/>
    </row>
    <row r="109" spans="1:15" x14ac:dyDescent="0.25">
      <c r="A109" s="9">
        <v>2</v>
      </c>
      <c r="B109" s="42"/>
      <c r="C109" s="10" t="s">
        <v>216</v>
      </c>
      <c r="D109" s="48"/>
      <c r="F109" s="39">
        <f>F104*1035/(1594+1035)</f>
        <v>900.51692658805632</v>
      </c>
      <c r="G109" s="22">
        <f>237+60*0.45</f>
        <v>264</v>
      </c>
      <c r="H109" s="22"/>
      <c r="I109" s="52"/>
      <c r="J109" s="7"/>
      <c r="K109" s="39">
        <f>K104*1035/(1594+1035)</f>
        <v>928.11430201597568</v>
      </c>
      <c r="L109" s="22">
        <f>237+60*0.45+L69</f>
        <v>266.25</v>
      </c>
      <c r="M109" s="22"/>
      <c r="N109" s="52"/>
      <c r="O109" s="7"/>
    </row>
    <row r="110" spans="1:15" x14ac:dyDescent="0.25">
      <c r="A110" s="9">
        <v>0</v>
      </c>
      <c r="B110" s="105" t="s">
        <v>204</v>
      </c>
      <c r="C110" s="106"/>
      <c r="D110" s="107"/>
      <c r="F110" s="45" cm="1">
        <f t="array" ref="F110">SUM(($A72:$A104=1)*F72:F104)</f>
        <v>6999.9</v>
      </c>
      <c r="G110" s="25" cm="1">
        <f t="array" ref="G110">SUMPRODUCT(($A72:$A104=1)*F72:F104, G72:G104)/F110</f>
        <v>264.2525836083372</v>
      </c>
      <c r="H110" s="25" cm="1">
        <f t="array" ref="H110">SUMPRODUCT(($A72:$A104=1)*F72:F104, H72:H104)/F110</f>
        <v>-3.6226231803311484E-2</v>
      </c>
      <c r="I110" s="49" cm="1">
        <f t="array" ref="I110">SUMPRODUCT(($A72:$A104=1)*F72:F104, I72:I104)/F110</f>
        <v>105.18227688966986</v>
      </c>
      <c r="J110" s="7"/>
      <c r="K110" s="45" cm="1">
        <f t="array" ref="K110">SUM(($A72:$A104=1)*K72:K104)</f>
        <v>7000</v>
      </c>
      <c r="L110" s="25" cm="1">
        <f t="array" ref="L110">SUMPRODUCT(($A72:$A104=1)*K72:K104, L72:L104)/K110</f>
        <v>266.51728214285714</v>
      </c>
      <c r="M110" s="25" cm="1">
        <f t="array" ref="M110">SUMPRODUCT(($A72:$A104=1)*K72:K104, M72:M104)/K110</f>
        <v>-3.6225714285714299E-2</v>
      </c>
      <c r="N110" s="49" cm="1">
        <f t="array" ref="N110">SUMPRODUCT(($A72:$A104=1)*K72:K104, N72:N104)/K110</f>
        <v>105.20833714285716</v>
      </c>
      <c r="O110" s="7"/>
    </row>
    <row r="111" spans="1:15" ht="15" thickBot="1" x14ac:dyDescent="0.3">
      <c r="B111" s="111"/>
      <c r="C111" s="112"/>
      <c r="D111" s="113"/>
      <c r="F111" s="55"/>
      <c r="G111" s="56">
        <f>(G110-237)/60*100</f>
        <v>45.420972680562002</v>
      </c>
      <c r="H111" s="57"/>
      <c r="I111" s="58"/>
      <c r="K111" s="55"/>
      <c r="L111" s="56">
        <f>(L110-(237+L69))/60*100</f>
        <v>45.44547023809524</v>
      </c>
      <c r="M111" s="57"/>
      <c r="N111" s="58"/>
    </row>
  </sheetData>
  <mergeCells count="18">
    <mergeCell ref="B110:D111"/>
    <mergeCell ref="P70:S70"/>
    <mergeCell ref="U70:X70"/>
    <mergeCell ref="B71:D71"/>
    <mergeCell ref="B96:D97"/>
    <mergeCell ref="B99:D100"/>
    <mergeCell ref="B102:D103"/>
    <mergeCell ref="K70:N70"/>
    <mergeCell ref="B32:D33"/>
    <mergeCell ref="B35:D36"/>
    <mergeCell ref="B43:D44"/>
    <mergeCell ref="B4:D4"/>
    <mergeCell ref="F70:I70"/>
    <mergeCell ref="F3:I3"/>
    <mergeCell ref="P3:S3"/>
    <mergeCell ref="U3:X3"/>
    <mergeCell ref="K3:N3"/>
    <mergeCell ref="B29:D30"/>
  </mergeCells>
  <phoneticPr fontId="2" type="noConversion"/>
  <pageMargins left="0.7" right="0.7" top="0.75" bottom="0.75" header="0.3" footer="0.3"/>
  <ignoredErrors>
    <ignoredError sqref="F5:I5 F18 F9:I9 K9:N9 K5:N5 F13:I13 K13:N13 F16:I16 K16:N16 K18:N18 G18:I18 F24:I24 K24:N24 K25 F25 F29:I29 K29:N29 K32:N32 F32:I32 F35:I35 K35:N35 K38:N38 F38:I38" formulaRange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428E4-D6F5-4BA2-9644-E4A228B4FC0D}">
  <dimension ref="A1:L29"/>
  <sheetViews>
    <sheetView workbookViewId="0">
      <selection activeCell="H36" sqref="A33:H36"/>
    </sheetView>
  </sheetViews>
  <sheetFormatPr defaultRowHeight="14.5" x14ac:dyDescent="0.25"/>
  <cols>
    <col min="1" max="1" width="18.90625" style="5" bestFit="1" customWidth="1"/>
    <col min="2" max="2" width="8.7265625" style="9"/>
    <col min="3" max="3" width="8.7265625" style="5"/>
    <col min="4" max="4" width="17.7265625" style="5" customWidth="1"/>
    <col min="5" max="5" width="8.7265625" style="9"/>
    <col min="6" max="16384" width="8.7265625" style="5"/>
  </cols>
  <sheetData>
    <row r="1" spans="1:12" x14ac:dyDescent="0.25">
      <c r="A1" s="10" t="s">
        <v>351</v>
      </c>
      <c r="B1" s="11" t="s">
        <v>100</v>
      </c>
      <c r="C1" s="10">
        <v>5</v>
      </c>
    </row>
    <row r="2" spans="1:12" x14ac:dyDescent="0.25">
      <c r="A2" s="10"/>
      <c r="B2" s="11" t="s">
        <v>338</v>
      </c>
      <c r="C2" s="10">
        <f>C1*CONVERT(1,"ft","in")</f>
        <v>60</v>
      </c>
    </row>
    <row r="3" spans="1:12" x14ac:dyDescent="0.25">
      <c r="A3" s="10" t="s">
        <v>144</v>
      </c>
      <c r="B3" s="11" t="s">
        <v>100</v>
      </c>
      <c r="C3" s="10">
        <v>55.3</v>
      </c>
    </row>
    <row r="4" spans="1:12" x14ac:dyDescent="0.25">
      <c r="A4" s="10"/>
      <c r="B4" s="11" t="s">
        <v>338</v>
      </c>
      <c r="C4" s="10">
        <f>C3*CONVERT(1,"ft","in")</f>
        <v>663.59999999999991</v>
      </c>
    </row>
    <row r="5" spans="1:12" x14ac:dyDescent="0.25">
      <c r="A5" s="10" t="s">
        <v>111</v>
      </c>
      <c r="B5" s="11" t="s">
        <v>352</v>
      </c>
      <c r="C5" s="10">
        <f>C1*C3</f>
        <v>276.5</v>
      </c>
    </row>
    <row r="6" spans="1:12" x14ac:dyDescent="0.25">
      <c r="A6" s="10"/>
      <c r="B6" s="11" t="s">
        <v>353</v>
      </c>
      <c r="C6" s="10">
        <f>C5*(CONVERT(1,"ft^2","in^2"))</f>
        <v>39816</v>
      </c>
    </row>
    <row r="8" spans="1:12" x14ac:dyDescent="0.25">
      <c r="A8" s="10" t="s">
        <v>337</v>
      </c>
      <c r="B8" s="11" t="s">
        <v>127</v>
      </c>
      <c r="C8" s="10">
        <v>2</v>
      </c>
      <c r="D8" s="10"/>
      <c r="E8" s="11"/>
      <c r="F8" s="10"/>
    </row>
    <row r="9" spans="1:12" x14ac:dyDescent="0.25">
      <c r="A9" s="95" t="s">
        <v>336</v>
      </c>
      <c r="B9" s="11" t="s">
        <v>100</v>
      </c>
      <c r="C9" s="10">
        <v>55.3</v>
      </c>
      <c r="D9" s="95" t="s">
        <v>344</v>
      </c>
      <c r="E9" s="11"/>
      <c r="F9" s="10">
        <f>C9/COS(RADIANS($C$8))</f>
        <v>55.333707799724841</v>
      </c>
    </row>
    <row r="10" spans="1:12" x14ac:dyDescent="0.25">
      <c r="A10" s="95"/>
      <c r="B10" s="11" t="s">
        <v>338</v>
      </c>
      <c r="C10" s="10">
        <f>C9*12</f>
        <v>663.59999999999991</v>
      </c>
      <c r="D10" s="95"/>
      <c r="E10" s="11"/>
      <c r="F10" s="10">
        <f>C10/COS(RADIANS($C$8))</f>
        <v>664.00449359669801</v>
      </c>
    </row>
    <row r="11" spans="1:12" x14ac:dyDescent="0.25">
      <c r="A11" s="95" t="s">
        <v>339</v>
      </c>
      <c r="B11" s="11" t="s">
        <v>100</v>
      </c>
      <c r="C11" s="10">
        <f>C12/12</f>
        <v>1.5083333333333335</v>
      </c>
      <c r="D11" s="95" t="s">
        <v>345</v>
      </c>
      <c r="E11" s="11" t="s">
        <v>100</v>
      </c>
      <c r="F11" s="10">
        <f>C11/COS(RADIANS($C$8))</f>
        <v>1.5092527293173896</v>
      </c>
    </row>
    <row r="12" spans="1:12" x14ac:dyDescent="0.25">
      <c r="A12" s="95"/>
      <c r="B12" s="11" t="s">
        <v>338</v>
      </c>
      <c r="C12" s="10">
        <v>18.100000000000001</v>
      </c>
      <c r="D12" s="95"/>
      <c r="E12" s="11" t="s">
        <v>338</v>
      </c>
      <c r="F12" s="10">
        <f>C12/COS(RADIANS($C$8))</f>
        <v>18.111032751808676</v>
      </c>
    </row>
    <row r="13" spans="1:12" x14ac:dyDescent="0.25">
      <c r="A13" s="95" t="s">
        <v>340</v>
      </c>
      <c r="B13" s="11" t="s">
        <v>100</v>
      </c>
      <c r="C13" s="10">
        <f>C14/12</f>
        <v>2.0500000000000003</v>
      </c>
      <c r="D13" s="95" t="s">
        <v>340</v>
      </c>
      <c r="E13" s="11" t="s">
        <v>100</v>
      </c>
      <c r="F13" s="10">
        <f t="shared" ref="F13:F22" si="0">C13/COS(RADIANS($C$8))</f>
        <v>2.0512495658125847</v>
      </c>
    </row>
    <row r="14" spans="1:12" x14ac:dyDescent="0.25">
      <c r="A14" s="95"/>
      <c r="B14" s="11" t="s">
        <v>338</v>
      </c>
      <c r="C14" s="10">
        <v>24.6</v>
      </c>
      <c r="D14" s="95"/>
      <c r="E14" s="11" t="s">
        <v>338</v>
      </c>
      <c r="F14" s="10">
        <f t="shared" si="0"/>
        <v>24.614994789751016</v>
      </c>
    </row>
    <row r="15" spans="1:12" x14ac:dyDescent="0.25">
      <c r="A15" s="117" t="s">
        <v>346</v>
      </c>
      <c r="B15" s="11" t="s">
        <v>100</v>
      </c>
      <c r="C15" s="10">
        <f>C16/12</f>
        <v>16.958333333333332</v>
      </c>
      <c r="D15" s="117" t="s">
        <v>346</v>
      </c>
      <c r="E15" s="11" t="s">
        <v>100</v>
      </c>
      <c r="F15" s="10">
        <f t="shared" si="0"/>
        <v>16.968670188734183</v>
      </c>
    </row>
    <row r="16" spans="1:12" x14ac:dyDescent="0.25">
      <c r="A16" s="95"/>
      <c r="B16" s="11" t="s">
        <v>338</v>
      </c>
      <c r="C16" s="10">
        <v>203.5</v>
      </c>
      <c r="D16" s="95"/>
      <c r="E16" s="11" t="s">
        <v>338</v>
      </c>
      <c r="F16" s="10">
        <f t="shared" si="0"/>
        <v>203.62404226481021</v>
      </c>
      <c r="I16" s="5" t="s">
        <v>354</v>
      </c>
      <c r="J16" s="5">
        <f>AVERAGE(F14,F16)</f>
        <v>114.11951852728062</v>
      </c>
      <c r="K16" s="84">
        <f>J16*TAN(RADIANS(2))</f>
        <v>3.9851414010004009</v>
      </c>
      <c r="L16" s="84">
        <f>K16-4.2</f>
        <v>-0.21485859899959925</v>
      </c>
    </row>
    <row r="17" spans="1:12" x14ac:dyDescent="0.25">
      <c r="A17" s="117" t="s">
        <v>347</v>
      </c>
      <c r="B17" s="11" t="s">
        <v>100</v>
      </c>
      <c r="C17" s="10">
        <f>C18/12</f>
        <v>26.25</v>
      </c>
      <c r="D17" s="117" t="s">
        <v>347</v>
      </c>
      <c r="E17" s="11" t="s">
        <v>100</v>
      </c>
      <c r="F17" s="10">
        <f t="shared" si="0"/>
        <v>26.266000537844072</v>
      </c>
      <c r="I17" s="5" t="s">
        <v>355</v>
      </c>
      <c r="J17" s="5">
        <f>F16</f>
        <v>203.62404226481021</v>
      </c>
      <c r="K17" s="84">
        <f t="shared" ref="K17:K18" si="1">J17*TAN(RADIANS(2))</f>
        <v>7.1107082429073349</v>
      </c>
      <c r="L17" s="84">
        <f t="shared" ref="L17:L18" si="2">K17-4.2</f>
        <v>2.9107082429073348</v>
      </c>
    </row>
    <row r="18" spans="1:12" x14ac:dyDescent="0.25">
      <c r="A18" s="95"/>
      <c r="B18" s="11" t="s">
        <v>338</v>
      </c>
      <c r="C18" s="10">
        <v>315</v>
      </c>
      <c r="D18" s="95"/>
      <c r="E18" s="11" t="s">
        <v>338</v>
      </c>
      <c r="F18" s="10">
        <f t="shared" si="0"/>
        <v>315.19200645412883</v>
      </c>
      <c r="H18" s="5">
        <f>F18-F16</f>
        <v>111.56796418931862</v>
      </c>
      <c r="I18" s="5" t="s">
        <v>356</v>
      </c>
      <c r="J18" s="5">
        <f>F18</f>
        <v>315.19200645412883</v>
      </c>
      <c r="K18" s="84">
        <f t="shared" si="1"/>
        <v>11.006747403026095</v>
      </c>
      <c r="L18" s="84">
        <f t="shared" si="2"/>
        <v>6.8067474030260948</v>
      </c>
    </row>
    <row r="19" spans="1:12" x14ac:dyDescent="0.25">
      <c r="A19" s="95" t="s">
        <v>341</v>
      </c>
      <c r="B19" s="11" t="s">
        <v>100</v>
      </c>
      <c r="C19" s="10">
        <f>55.3/2</f>
        <v>27.65</v>
      </c>
      <c r="D19" s="95" t="s">
        <v>341</v>
      </c>
      <c r="E19" s="11" t="s">
        <v>100</v>
      </c>
      <c r="F19" s="10">
        <f t="shared" si="0"/>
        <v>27.666853899862421</v>
      </c>
    </row>
    <row r="20" spans="1:12" x14ac:dyDescent="0.25">
      <c r="A20" s="95"/>
      <c r="B20" s="11" t="s">
        <v>338</v>
      </c>
      <c r="C20" s="10">
        <f>C19*12</f>
        <v>331.79999999999995</v>
      </c>
      <c r="D20" s="95"/>
      <c r="E20" s="11" t="s">
        <v>338</v>
      </c>
      <c r="F20" s="10">
        <f t="shared" si="0"/>
        <v>332.00224679834901</v>
      </c>
    </row>
    <row r="21" spans="1:12" x14ac:dyDescent="0.25">
      <c r="A21" s="95" t="s">
        <v>342</v>
      </c>
      <c r="B21" s="11" t="s">
        <v>100</v>
      </c>
      <c r="C21" s="10">
        <f>C19-C17</f>
        <v>1.3999999999999986</v>
      </c>
      <c r="D21" s="95" t="s">
        <v>342</v>
      </c>
      <c r="E21" s="11" t="s">
        <v>100</v>
      </c>
      <c r="F21" s="10">
        <f t="shared" si="0"/>
        <v>1.400853362018349</v>
      </c>
    </row>
    <row r="22" spans="1:12" x14ac:dyDescent="0.25">
      <c r="A22" s="95"/>
      <c r="B22" s="11" t="s">
        <v>338</v>
      </c>
      <c r="C22" s="10">
        <f>C20-C18</f>
        <v>16.799999999999955</v>
      </c>
      <c r="D22" s="95"/>
      <c r="E22" s="11" t="s">
        <v>338</v>
      </c>
      <c r="F22" s="10">
        <f t="shared" si="0"/>
        <v>16.810240344220158</v>
      </c>
    </row>
    <row r="23" spans="1:12" x14ac:dyDescent="0.25">
      <c r="A23" s="95" t="s">
        <v>343</v>
      </c>
      <c r="B23" s="11" t="s">
        <v>100</v>
      </c>
      <c r="C23" s="10">
        <f t="shared" ref="C23:C28" si="3">C15-C13</f>
        <v>14.908333333333331</v>
      </c>
      <c r="D23" s="95" t="s">
        <v>343</v>
      </c>
      <c r="E23" s="11" t="s">
        <v>100</v>
      </c>
      <c r="F23" s="10">
        <f t="shared" ref="F23:F24" si="4">C23/COS(RADIANS($C$8))</f>
        <v>14.917420622921599</v>
      </c>
    </row>
    <row r="24" spans="1:12" x14ac:dyDescent="0.25">
      <c r="A24" s="95"/>
      <c r="B24" s="11" t="s">
        <v>338</v>
      </c>
      <c r="C24" s="10">
        <f t="shared" si="3"/>
        <v>178.9</v>
      </c>
      <c r="D24" s="95"/>
      <c r="E24" s="11" t="s">
        <v>338</v>
      </c>
      <c r="F24" s="10">
        <f t="shared" si="4"/>
        <v>179.00904747505922</v>
      </c>
      <c r="H24" s="5">
        <f>F24/2</f>
        <v>89.50452373752961</v>
      </c>
    </row>
    <row r="25" spans="1:12" x14ac:dyDescent="0.25">
      <c r="A25" s="87" t="s">
        <v>348</v>
      </c>
      <c r="B25" s="11" t="s">
        <v>100</v>
      </c>
      <c r="C25" s="10">
        <f t="shared" si="3"/>
        <v>9.2916666666666679</v>
      </c>
      <c r="D25" s="87" t="s">
        <v>348</v>
      </c>
      <c r="E25" s="11" t="s">
        <v>100</v>
      </c>
      <c r="F25" s="10">
        <f t="shared" ref="F25:F26" si="5">C25/COS(RADIANS($C$8))</f>
        <v>9.2973303491098864</v>
      </c>
    </row>
    <row r="26" spans="1:12" x14ac:dyDescent="0.25">
      <c r="A26" s="89"/>
      <c r="B26" s="11" t="s">
        <v>338</v>
      </c>
      <c r="C26" s="10">
        <f t="shared" si="3"/>
        <v>111.5</v>
      </c>
      <c r="D26" s="89"/>
      <c r="E26" s="11" t="s">
        <v>338</v>
      </c>
      <c r="F26" s="10">
        <f t="shared" si="5"/>
        <v>111.56796418931863</v>
      </c>
      <c r="H26" s="5">
        <f>F26/2</f>
        <v>55.783982094659315</v>
      </c>
    </row>
    <row r="27" spans="1:12" x14ac:dyDescent="0.25">
      <c r="A27" s="95" t="s">
        <v>349</v>
      </c>
      <c r="B27" s="11" t="s">
        <v>100</v>
      </c>
      <c r="C27" s="10">
        <f t="shared" si="3"/>
        <v>1.3999999999999986</v>
      </c>
      <c r="D27" s="95" t="s">
        <v>349</v>
      </c>
      <c r="E27" s="11" t="s">
        <v>100</v>
      </c>
      <c r="F27" s="10">
        <f t="shared" ref="F27:F29" si="6">C27/COS(RADIANS($C$8))</f>
        <v>1.400853362018349</v>
      </c>
    </row>
    <row r="28" spans="1:12" x14ac:dyDescent="0.25">
      <c r="A28" s="95"/>
      <c r="B28" s="11" t="s">
        <v>338</v>
      </c>
      <c r="C28" s="10">
        <f t="shared" si="3"/>
        <v>16.799999999999955</v>
      </c>
      <c r="D28" s="95"/>
      <c r="E28" s="11" t="s">
        <v>338</v>
      </c>
      <c r="F28" s="10">
        <f t="shared" si="6"/>
        <v>16.810240344220158</v>
      </c>
    </row>
    <row r="29" spans="1:12" x14ac:dyDescent="0.25">
      <c r="A29" s="5" t="s">
        <v>350</v>
      </c>
      <c r="C29" s="5">
        <f>C9*5</f>
        <v>276.5</v>
      </c>
      <c r="F29" s="5">
        <f t="shared" si="6"/>
        <v>276.66853899862423</v>
      </c>
    </row>
  </sheetData>
  <mergeCells count="20">
    <mergeCell ref="A25:A26"/>
    <mergeCell ref="D25:D26"/>
    <mergeCell ref="A27:A28"/>
    <mergeCell ref="D27:D28"/>
    <mergeCell ref="A19:A20"/>
    <mergeCell ref="A21:A22"/>
    <mergeCell ref="D9:D10"/>
    <mergeCell ref="D11:D12"/>
    <mergeCell ref="D13:D14"/>
    <mergeCell ref="D15:D16"/>
    <mergeCell ref="D23:D24"/>
    <mergeCell ref="D17:D18"/>
    <mergeCell ref="D19:D20"/>
    <mergeCell ref="D21:D22"/>
    <mergeCell ref="A9:A10"/>
    <mergeCell ref="A11:A12"/>
    <mergeCell ref="A13:A14"/>
    <mergeCell ref="A15:A16"/>
    <mergeCell ref="A23:A24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17</vt:i4>
      </vt:variant>
    </vt:vector>
  </HeadingPairs>
  <TitlesOfParts>
    <vt:vector size="28" baseType="lpstr">
      <vt:lpstr>Reqs</vt:lpstr>
      <vt:lpstr>Perf-TO&amp;L</vt:lpstr>
      <vt:lpstr>Blown effect (mu variation)</vt:lpstr>
      <vt:lpstr>Blown effect (alt variation)</vt:lpstr>
      <vt:lpstr>Landing</vt:lpstr>
      <vt:lpstr>Sheet2</vt:lpstr>
      <vt:lpstr>LG</vt:lpstr>
      <vt:lpstr>RSTA</vt:lpstr>
      <vt:lpstr>WL</vt:lpstr>
      <vt:lpstr>Weight</vt:lpstr>
      <vt:lpstr>Sheet1</vt:lpstr>
      <vt:lpstr>alt_ft</vt:lpstr>
      <vt:lpstr>CD</vt:lpstr>
      <vt:lpstr>CL</vt:lpstr>
      <vt:lpstr>CLmax</vt:lpstr>
      <vt:lpstr>CLmax_to</vt:lpstr>
      <vt:lpstr>g_mps2</vt:lpstr>
      <vt:lpstr>mu_b</vt:lpstr>
      <vt:lpstr>mu_u</vt:lpstr>
      <vt:lpstr>rho_kgm3</vt:lpstr>
      <vt:lpstr>rho_kgpm3</vt:lpstr>
      <vt:lpstr>S_TO_ft</vt:lpstr>
      <vt:lpstr>S_TO_m</vt:lpstr>
      <vt:lpstr>S_TOG_ft</vt:lpstr>
      <vt:lpstr>S_TOG_m</vt:lpstr>
      <vt:lpstr>T_rev_N</vt:lpstr>
      <vt:lpstr>Vs_0_ms</vt:lpstr>
      <vt:lpstr>Vs_1_ms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Sehwan Park</dc:creator>
  <cp:lastModifiedBy>Sehwan Park</cp:lastModifiedBy>
  <dcterms:created xsi:type="dcterms:W3CDTF">2026-04-12T08:37:45Z</dcterms:created>
  <dcterms:modified xsi:type="dcterms:W3CDTF">2026-09-16T01:30:45Z</dcterms:modified>
</cp:coreProperties>
</file>